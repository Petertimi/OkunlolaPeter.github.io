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<sst xmlns="http://schemas.openxmlformats.org/spreadsheetml/2006/main" count="42" uniqueCount="35">
  <si>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 xml:space="preserve">Sales Performance Dashboard — December 2020</t>
  </si>
  <si>
    <t xml:space="preserve">Monthly Goal:</t>
  </si>
  <si>
    <t xml:space="preserve">Sales Person</t>
  </si>
  <si>
    <t xml:space="preserve">Week 1</t>
  </si>
  <si>
    <t xml:space="preserve">Week 2</t>
  </si>
  <si>
    <t xml:space="preserve">Week 3</t>
  </si>
  <si>
    <t xml:space="preserve">Week 4</t>
  </si>
  <si>
    <t xml:space="preserve">Total</t>
  </si>
  <si>
    <t xml:space="preserve">Goal Met?</t>
  </si>
  <si>
    <t xml:space="preserve">Bonus</t>
  </si>
  <si>
    <t xml:space="preserve">60%</t>
  </si>
  <si>
    <t xml:space="preserve">$35,242</t>
  </si>
  <si>
    <t xml:space="preserve">$39,705</t>
  </si>
  <si>
    <t xml:space="preserve">3 / 5</t>
  </si>
  <si>
    <t xml:space="preserve">H. James</t>
  </si>
  <si>
    <t xml:space="preserve">YES</t>
  </si>
  <si>
    <t xml:space="preserve">BONUS</t>
  </si>
  <si>
    <t xml:space="preserve">K. Dunn</t>
  </si>
  <si>
    <t xml:space="preserve">NO</t>
  </si>
  <si>
    <t xml:space="preserve">NO BONUS</t>
  </si>
  <si>
    <t xml:space="preserve">GOAL ACHIEVEMENT</t>
  </si>
  <si>
    <t xml:space="preserve">AVG SALES</t>
  </si>
  <si>
    <t xml:space="preserve">TOP PERFORMER</t>
  </si>
  <si>
    <t xml:space="preserve">MET GOAL</t>
  </si>
  <si>
    <t xml:space="preserve">L. Carrie</t>
  </si>
  <si>
    <t xml:space="preserve">R. Smith</t>
  </si>
  <si>
    <t xml:space="preserve">D. O'Brian</t>
  </si>
  <si>
    <t xml:space="preserve">Formula</t>
  </si>
  <si>
    <t xml:space="preserve">Logic</t>
  </si>
  <si>
    <t xml:space="preserve">Description</t>
  </si>
  <si>
    <t xml:space="preserve">Sums weekly sales for each salesperson</t>
  </si>
  <si>
    <t xml:space="preserve">Goal Check</t>
  </si>
  <si>
    <t xml:space="preserve">Compares total against $34,000 monthly goal</t>
  </si>
  <si>
    <t xml:space="preserve">Count</t>
  </si>
  <si>
    <t xml:space="preserve">Counts salespeople who achieved target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</si>
</sst>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F72"/>
      <name val="Calibri"/>
      <family val="2"/>
      <charset val="1"/>
    </font>
    <font>
      <b val="true"/>
      <sz val="11"/>
      <color rgb="FF1B4F72"/>
      <name val="Calibri"/>
      <family val="2"/>
      <charset val="1"/>
    </font>
    <font>
      <b val="true"/>
      <sz val="14"/>
      <color rgb="FFE74C3C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20"/>
      <color rgb="FF1B4F72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9"/>
      <color rgb="FF5D6D7E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2980B9"/>
      <name val="Calibri"/>
      <family val="2"/>
      <charset val="1"/>
    </font>
    <font>
      <b val="true"/>
      <sz val="11"/>
      <color rgb="FF1B4F72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 val="true"/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6EAF8"/>
        <bgColor rgb="FFEBF5FB"/>
      </patternFill>
    </fill>
    <fill>
      <patternFill patternType="solid">
        <fgColor rgb="FF27AE60"/>
        <bgColor rgb="FF008080"/>
      </patternFill>
    </fill>
    <fill>
      <patternFill patternType="solid">
        <fgColor rgb="FFE74C3C"/>
        <bgColor rgb="FFFF8080"/>
      </patternFill>
    </fill>
    <fill>
      <patternFill patternType="solid">
        <fgColor rgb="FF2980B9"/>
        <bgColor rgb="FF008080"/>
      </patternFill>
    </fill>
    <fill>
      <patternFill patternType="solid">
        <fgColor rgb="FFEBF5FB"/>
        <bgColor rgb="FFFDFEF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4F7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D9D9D9"/>
      <rgbColor rgb="FF878787"/>
      <rgbColor rgb="FF9999FF"/>
      <rgbColor rgb="FF993366"/>
      <rgbColor rgb="FFFDFEFE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5D6D7E"/>
      <rgbColor rgb="FF969696"/>
      <rgbColor rgb="FF1B4F72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100" spc="-1" strike="noStrike">
                <a:solidFill>
                  <a:srgbClr val="1b4f72"/>
                </a:solidFill>
                <a:latin typeface="Calibri"/>
              </a:defRPr>
            </a:pPr>
            <a:r>
              <a:rPr b="1" lang="en-US" sz="1100" spc="-1" strike="noStrike">
                <a:solidFill>
                  <a:srgbClr val="1b4f72"/>
                </a:solidFill>
                <a:latin typeface="Calibri"/>
              </a:rPr>
              <a:t>Sales vs Monthly Goal ($34,000)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"Total Sales"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980b9"/>
            </a:solidFill>
            <a:ln w="0">
              <a:solidFill>
                <a:srgbClr val="1b4f7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Dashboard'!$A$5:$A$9</c:f>
              <c:strCache>
                <c:ptCount val="5"/>
                <c:pt idx="0">
                  <c:v>H. James</c:v>
                </c:pt>
                <c:pt idx="1">
                  <c:v>K. Dunn</c:v>
                </c:pt>
                <c:pt idx="2">
                  <c:v>L. Carrie</c:v>
                </c:pt>
                <c:pt idx="3">
                  <c:v>R. Smith</c:v>
                </c:pt>
                <c:pt idx="4">
                  <c:v>D. O'Brian</c:v>
                </c:pt>
              </c:strCache>
            </c:strRef>
          </c:cat>
          <c:val>
            <c:numRef>
              <c:f>'Sales Dashboard'!$F$5:$F$9</c:f>
              <c:numCache>
                <c:formatCode>\$#,##0</c:formatCode>
                <c:ptCount val="5"/>
                <c:pt idx="0">
                  <c:v>36245</c:v>
                </c:pt>
                <c:pt idx="1">
                  <c:v>31475</c:v>
                </c:pt>
                <c:pt idx="2">
                  <c:v>33427</c:v>
                </c:pt>
                <c:pt idx="3">
                  <c:v>39705</c:v>
                </c:pt>
                <c:pt idx="4">
                  <c:v>35359</c:v>
                </c:pt>
              </c:numCache>
            </c:numRef>
          </c:val>
        </c:ser>
        <c:gapWidth val="150"/>
        <c:overlap val="0"/>
        <c:axId val="58642826"/>
        <c:axId val="64404510"/>
      </c:barChart>
      <c:catAx>
        <c:axId val="586428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04510"/>
        <c:crosses val="autoZero"/>
        <c:auto val="1"/>
        <c:lblAlgn val="ctr"/>
        <c:lblOffset val="100"/>
        <c:noMultiLvlLbl val="0"/>
      </c:catAx>
      <c:valAx>
        <c:axId val="64404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9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9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42826"/>
        <c:crosses val="autoZero"/>
        <c:crossBetween val="between"/>
      </c:valAx>
      <c:spPr>
        <a:solidFill>
          <a:srgbClr val="fdfefe"/>
        </a:solidFill>
        <a:ln w="0">
          <a:solidFill>
            <a:srgbClr val="d5d8dc"/>
          </a:solidFill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6</xdr:row>
      <xdr:rowOff>100800</xdr:rowOff>
    </xdr:from>
    <xdr:to>
      <xdr:col>14</xdr:col>
      <xdr:colOff>533160</xdr:colOff>
      <xdr:row>21</xdr:row>
      <xdr:rowOff>100800</xdr:rowOff>
    </xdr:to>
    <xdr:graphicFrame>
      <xdr:nvGraphicFramePr>
        <xdr:cNvPr id="0" name="Chart 1"/>
        <xdr:cNvGraphicFramePr/>
      </xdr:nvGraphicFramePr>
      <xdr:xfrm>
        <a:off x="8395920" y="1333440"/>
        <a:ext cx="58089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5" min="2" style="0" width="12.71"/>
    <col collapsed="false" customWidth="true" hidden="false" outlineLevel="0" max="6" min="6" style="0" width="14.71"/>
    <col collapsed="false" customWidth="true" hidden="false" outlineLevel="0" max="7" min="7" style="0" width="3.71"/>
    <col collapsed="false" customWidth="true" hidden="false" outlineLevel="0" max="9" min="8" style="0" width="14.71"/>
    <col collapsed="false" customWidth="true" hidden="false" outlineLevel="0" max="10" min="10" style="0" width="3.71"/>
    <col collapsed="false" customWidth="true" hidden="false" outlineLevel="0" max="14" min="11" style="0" width="1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7.35" hidden="false" customHeight="false" outlineLevel="0" collapsed="false">
      <c r="H3" s="2" t="s">
        <v>1</v>
      </c>
      <c r="I3" s="3" t="n">
        <v>34000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H4" s="4" t="s">
        <v>8</v>
      </c>
      <c r="I4" s="4" t="s">
        <v>9</v>
      </c>
      <c r="K4" s="5" t="s">
        <v>10</v>
      </c>
      <c r="L4" s="5" t="s">
        <v>11</v>
      </c>
      <c r="M4" s="5" t="s">
        <v>12</v>
      </c>
      <c r="N4" s="5" t="s">
        <v>13</v>
      </c>
    </row>
    <row r="5" customFormat="false" ht="15" hidden="false" customHeight="false" outlineLevel="0" collapsed="false">
      <c r="A5" s="6" t="s">
        <v>14</v>
      </c>
      <c r="B5" s="7" t="n">
        <v>9550</v>
      </c>
      <c r="C5" s="7" t="n">
        <v>9230</v>
      </c>
      <c r="D5" s="7" t="n">
        <v>8500</v>
      </c>
      <c r="E5" s="7" t="n">
        <v>8965</v>
      </c>
      <c r="F5" s="8" t="n">
        <v>36245</v>
      </c>
      <c r="H5" s="9" t="s">
        <v>15</v>
      </c>
      <c r="I5" s="9" t="s">
        <v>16</v>
      </c>
      <c r="K5" s="5"/>
      <c r="L5" s="5"/>
      <c r="M5" s="5"/>
      <c r="N5" s="5"/>
    </row>
    <row r="6" customFormat="false" ht="15" hidden="false" customHeight="false" outlineLevel="0" collapsed="false">
      <c r="A6" s="6" t="s">
        <v>17</v>
      </c>
      <c r="B6" s="7" t="n">
        <v>5975</v>
      </c>
      <c r="C6" s="7" t="n">
        <v>6900</v>
      </c>
      <c r="D6" s="7" t="n">
        <v>8500</v>
      </c>
      <c r="E6" s="7" t="n">
        <v>10100</v>
      </c>
      <c r="F6" s="8" t="n">
        <v>31475</v>
      </c>
      <c r="H6" s="10" t="s">
        <v>18</v>
      </c>
      <c r="I6" s="10" t="s">
        <v>19</v>
      </c>
      <c r="K6" s="11" t="s">
        <v>20</v>
      </c>
      <c r="L6" s="11" t="s">
        <v>21</v>
      </c>
      <c r="M6" s="11" t="s">
        <v>22</v>
      </c>
      <c r="N6" s="11" t="s">
        <v>23</v>
      </c>
    </row>
    <row r="7" customFormat="false" ht="15" hidden="false" customHeight="false" outlineLevel="0" collapsed="false">
      <c r="A7" s="6" t="s">
        <v>24</v>
      </c>
      <c r="B7" s="7" t="n">
        <v>7425</v>
      </c>
      <c r="C7" s="7" t="n">
        <v>8580</v>
      </c>
      <c r="D7" s="7" t="n">
        <v>9910</v>
      </c>
      <c r="E7" s="7" t="n">
        <v>7512</v>
      </c>
      <c r="F7" s="8" t="n">
        <v>33427</v>
      </c>
      <c r="H7" s="10" t="s">
        <v>18</v>
      </c>
      <c r="I7" s="10" t="s">
        <v>19</v>
      </c>
    </row>
    <row r="8" customFormat="false" ht="15" hidden="false" customHeight="false" outlineLevel="0" collapsed="false">
      <c r="A8" s="6" t="s">
        <v>25</v>
      </c>
      <c r="B8" s="7" t="n">
        <v>9560</v>
      </c>
      <c r="C8" s="7" t="n">
        <v>10150</v>
      </c>
      <c r="D8" s="7" t="n">
        <v>10200</v>
      </c>
      <c r="E8" s="7" t="n">
        <v>9795</v>
      </c>
      <c r="F8" s="8" t="n">
        <v>39705</v>
      </c>
      <c r="H8" s="9" t="s">
        <v>15</v>
      </c>
      <c r="I8" s="9" t="s">
        <v>16</v>
      </c>
    </row>
    <row r="9" customFormat="false" ht="15" hidden="false" customHeight="false" outlineLevel="0" collapsed="false">
      <c r="A9" s="6" t="s">
        <v>26</v>
      </c>
      <c r="B9" s="7" t="n">
        <v>7892</v>
      </c>
      <c r="C9" s="7" t="n">
        <v>7695</v>
      </c>
      <c r="D9" s="7" t="n">
        <v>9520</v>
      </c>
      <c r="E9" s="7" t="n">
        <v>10252</v>
      </c>
      <c r="F9" s="8" t="n">
        <v>35359</v>
      </c>
      <c r="H9" s="9" t="s">
        <v>15</v>
      </c>
      <c r="I9" s="9" t="s">
        <v>16</v>
      </c>
    </row>
    <row r="11" customFormat="false" ht="15" hidden="false" customHeight="false" outlineLevel="0" collapsed="false">
      <c r="A11" s="12" t="s">
        <v>27</v>
      </c>
      <c r="B11" s="12" t="s">
        <v>28</v>
      </c>
      <c r="C11" s="12" t="s">
        <v>29</v>
      </c>
      <c r="D11" s="12"/>
      <c r="E11" s="12"/>
    </row>
    <row r="12" customFormat="false" ht="15" hidden="false" customHeight="true" outlineLevel="0" collapsed="false">
      <c r="A12" s="13" t="n">
        <f aca="false">SUM(B5:E5)</f>
        <v>36245</v>
      </c>
      <c r="B12" s="13" t="s">
        <v>7</v>
      </c>
      <c r="C12" s="14" t="s">
        <v>30</v>
      </c>
      <c r="D12" s="14"/>
      <c r="E12" s="14"/>
    </row>
    <row r="13" customFormat="false" ht="15" hidden="false" customHeight="true" outlineLevel="0" collapsed="false">
      <c r="A13" s="13" t="str">
        <f aca="false">IF(F5&gt;=$I$3,"YES","NO")</f>
        <v>YES</v>
      </c>
      <c r="B13" s="13" t="s">
        <v>31</v>
      </c>
      <c r="C13" s="14" t="s">
        <v>32</v>
      </c>
      <c r="D13" s="14"/>
      <c r="E13" s="14"/>
    </row>
    <row r="14" customFormat="false" ht="15" hidden="false" customHeight="true" outlineLevel="0" collapsed="false">
      <c r="A14" s="13" t="n">
        <f aca="false">COUNTIF(H5:H9,"YES")</f>
        <v>3</v>
      </c>
      <c r="B14" s="13" t="s">
        <v>33</v>
      </c>
      <c r="C14" s="14" t="s">
        <v>34</v>
      </c>
      <c r="D14" s="14"/>
      <c r="E14" s="14"/>
    </row>
  </sheetData>
  <mergeCells count="9">
    <mergeCell ref="A1:I1"/>
    <mergeCell ref="K4:K5"/>
    <mergeCell ref="L4:L5"/>
    <mergeCell ref="M4:M5"/>
    <mergeCell ref="N4:N5"/>
    <mergeCell ref="C11:E11"/>
    <mergeCell ref="C12:E12"/>
    <mergeCell ref="C13:E13"/>
    <mergeCell ref="C14:E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2026-04-15T23:01:32Z</dcterms:created>
  <dc:creator/>
  <dc:description/>
  <dc:language>en-US</dc:language>
  <cp:lastModifiedBy/>
  <dcterms:modified xsi:type="dcterms:W3CDTF">2026-04-15T23:01:41Z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