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firstSheet="11" activeTab="13"/>
  </bookViews>
  <sheets>
    <sheet name="EXCEL 102 PRACTICE" sheetId="3" r:id="rId1"/>
    <sheet name="PRODUCT LIST" sheetId="7" r:id="rId2"/>
    <sheet name="PRODUCT LIST (SORTING)" sheetId="4" r:id="rId3"/>
    <sheet name="PRODUCT LIST (SORTING) PART 2" sheetId="19" r:id="rId4"/>
    <sheet name="ORDERS (CUSTOM SORT)" sheetId="11" r:id="rId5"/>
    <sheet name="PRODUCT LIST (FILTERING)" sheetId="5" r:id="rId6"/>
    <sheet name="PRODUCT LIST (SUBTOTAL)" sheetId="6" r:id="rId7"/>
    <sheet name="EMPLOYEE LIST (DUPLICATES)" sheetId="12" r:id="rId8"/>
    <sheet name="PRODUCTS (SUBTOTAL FUNCTION)" sheetId="13" r:id="rId9"/>
    <sheet name="DSUM Function" sheetId="9" r:id="rId10"/>
    <sheet name="OTHER DATABASE FUNCTIONS" sheetId="10" r:id="rId11"/>
    <sheet name="shipping cost" sheetId="20" r:id="rId12"/>
    <sheet name="ORDER DATA (PIVOTTABLE)" sheetId="17" r:id="rId13"/>
    <sheet name="DASHBOARD PIVOTABLE" sheetId="18" r:id="rId14"/>
  </sheets>
  <definedNames>
    <definedName name="Slicer_Ship_Via">#N/A</definedName>
    <definedName name="NativeTimeline_Shipped_Date">#N/A</definedName>
    <definedName name="Orders">#REF!</definedName>
  </definedNames>
  <calcPr calcId="191029"/>
  <pivotCaches>
    <pivotCache cacheId="0" r:id="rId15"/>
    <pivotCache cacheId="1" r:id="rId16"/>
  </pivotCaches>
  <extLst>
    <ext xmlns:x14="http://schemas.microsoft.com/office/spreadsheetml/2009/9/main" uri="{BBE1A952-AA13-448e-AADC-164F8A28A991}">
      <x14:slicerCaches>
        <x14:slicerCache r:id="rId1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<sst xmlns="http://schemas.openxmlformats.org/spreadsheetml/2006/main" count="8829" uniqueCount="484">
  <si>
    <t>NW_PRODUCT_LIST</t>
  </si>
  <si>
    <t>Product ID</t>
  </si>
  <si>
    <t>Product Name</t>
  </si>
  <si>
    <t>Supplier</t>
  </si>
  <si>
    <t>Category</t>
  </si>
  <si>
    <t>Unit Price</t>
  </si>
  <si>
    <t>Units In Stock</t>
  </si>
  <si>
    <t>Units On Order</t>
  </si>
  <si>
    <t>Reorder Level</t>
  </si>
  <si>
    <t>Discontinued</t>
  </si>
  <si>
    <t>Chai</t>
  </si>
  <si>
    <t>Exotic Liquids</t>
  </si>
  <si>
    <t>Beverages</t>
  </si>
  <si>
    <t>Chang</t>
  </si>
  <si>
    <t>Aniseed Syrup</t>
  </si>
  <si>
    <t>Condiments</t>
  </si>
  <si>
    <t>Chef Anton's Cajun Seasoning</t>
  </si>
  <si>
    <t>New Orleans Cajun Delights</t>
  </si>
  <si>
    <t>Chef Anton's Gumbo Mix</t>
  </si>
  <si>
    <t>Grandma's Boysenberry Spread</t>
  </si>
  <si>
    <t>Grandma Kelly's Homestead</t>
  </si>
  <si>
    <t>Uncle Bob's Organic Dried Pears</t>
  </si>
  <si>
    <t>Produce</t>
  </si>
  <si>
    <t>Northwoods Cranberry Sauce</t>
  </si>
  <si>
    <t>Mishi Kobe Niku</t>
  </si>
  <si>
    <t>Tokyo Traders</t>
  </si>
  <si>
    <t>Meat/Poultry</t>
  </si>
  <si>
    <t>Ikura</t>
  </si>
  <si>
    <t>Seafood</t>
  </si>
  <si>
    <t>Queso Cabrales</t>
  </si>
  <si>
    <t>Cooperativa de Quesos 'Las Cabras'</t>
  </si>
  <si>
    <t>Dairy Products</t>
  </si>
  <si>
    <t>Queso Manchego La Pastora</t>
  </si>
  <si>
    <t>Konbu</t>
  </si>
  <si>
    <t>Mayumi's</t>
  </si>
  <si>
    <t>Tofu</t>
  </si>
  <si>
    <t>Genen Shouyu</t>
  </si>
  <si>
    <t>Pavlova</t>
  </si>
  <si>
    <t>Pavlova, Ltd.</t>
  </si>
  <si>
    <t>Confections</t>
  </si>
  <si>
    <t>Alice Mutton</t>
  </si>
  <si>
    <t>Carnarvon Tigers</t>
  </si>
  <si>
    <t>Teatime Chocolate Biscuits</t>
  </si>
  <si>
    <t>Specialty Biscuits, Ltd.</t>
  </si>
  <si>
    <t>Sir Rodney's Marmalade</t>
  </si>
  <si>
    <t>Sir Rodney's Scones</t>
  </si>
  <si>
    <t>Gustaf's Knäckebröd</t>
  </si>
  <si>
    <t>PB Knäckebröd AB</t>
  </si>
  <si>
    <t>Grains/Cereals</t>
  </si>
  <si>
    <t>Tunnbröd</t>
  </si>
  <si>
    <t>Guaraná Fantástica</t>
  </si>
  <si>
    <t>Refrescos Americanas LTDA</t>
  </si>
  <si>
    <t>NuNuCa Nuß-Nougat-Creme</t>
  </si>
  <si>
    <t>Heli Süßwaren GmbH &amp; Co. KG</t>
  </si>
  <si>
    <t>Gumbär Gummibärchen</t>
  </si>
  <si>
    <t>Schoggi Schokolade</t>
  </si>
  <si>
    <t>Rössle Sauerkraut</t>
  </si>
  <si>
    <t>Plutzer Lebensmittelgroßmärkte AG</t>
  </si>
  <si>
    <t>Thüringer Rostbratwurst</t>
  </si>
  <si>
    <t>Nord-Ost Matjeshering</t>
  </si>
  <si>
    <t>Nord-Ost-Fisch Handelsgesellschaft mbH</t>
  </si>
  <si>
    <t>Gorgonzola Telino</t>
  </si>
  <si>
    <t>Formaggi Fortini s.r.l.</t>
  </si>
  <si>
    <t>Mascarpone Fabioli</t>
  </si>
  <si>
    <t>Geitost</t>
  </si>
  <si>
    <t>Norske Meierier</t>
  </si>
  <si>
    <t>Sasquatch Ale</t>
  </si>
  <si>
    <t>Bigfoot Breweries</t>
  </si>
  <si>
    <t>Steeleye Stout</t>
  </si>
  <si>
    <t>Inlagd Sill</t>
  </si>
  <si>
    <t>Svensk Sjöföda AB</t>
  </si>
  <si>
    <t>Gravad lax</t>
  </si>
  <si>
    <t>Côte de Blaye</t>
  </si>
  <si>
    <t>Aux joyeux ecclésiastiques</t>
  </si>
  <si>
    <t>Chartreuse verte</t>
  </si>
  <si>
    <t>Boston Crab Meat</t>
  </si>
  <si>
    <t>New England Seafood Cannery</t>
  </si>
  <si>
    <t>Jack's New England Clam Chowder</t>
  </si>
  <si>
    <t>Singaporean Hokkien Fried Mee</t>
  </si>
  <si>
    <t>Leka Trading</t>
  </si>
  <si>
    <t>Ipoh Coffee</t>
  </si>
  <si>
    <t>Gula Malacca</t>
  </si>
  <si>
    <t>Røgede sild</t>
  </si>
  <si>
    <t>Lyngbysild</t>
  </si>
  <si>
    <t>Spegesild</t>
  </si>
  <si>
    <t>Zaanse koeken</t>
  </si>
  <si>
    <t>Zaanse Snoepfabriek</t>
  </si>
  <si>
    <t>Chocolade</t>
  </si>
  <si>
    <t>Maxilaku</t>
  </si>
  <si>
    <t>Karkki Oy</t>
  </si>
  <si>
    <t>Valkoinen suklaa</t>
  </si>
  <si>
    <t>Manjimup Dried Apples</t>
  </si>
  <si>
    <t>G'day, Mate</t>
  </si>
  <si>
    <t>Filo Mix</t>
  </si>
  <si>
    <t>Perth Pasties</t>
  </si>
  <si>
    <t>Tourtière</t>
  </si>
  <si>
    <t>Ma Maison</t>
  </si>
  <si>
    <t>Pâté chinois</t>
  </si>
  <si>
    <t>Gnocchi di nonna Alice</t>
  </si>
  <si>
    <t>Pasta Buttini s.r.l.</t>
  </si>
  <si>
    <t>Ravioli Angelo</t>
  </si>
  <si>
    <t>Escargots de Bourgogne</t>
  </si>
  <si>
    <t>Escargots Nouveaux</t>
  </si>
  <si>
    <t>Raclette Courdavault</t>
  </si>
  <si>
    <t>Gai pâturage</t>
  </si>
  <si>
    <t>Camembert Pierrot</t>
  </si>
  <si>
    <t>Sirop d'érable</t>
  </si>
  <si>
    <t>Forêts d'érables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</si>
  <si>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</si>
  <si>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</si>
  <si>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</si>
  <si>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</si>
  <si>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</si>
  <si>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</si>
  <si>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</si>
  <si>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</si>
  <si>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</si>
  <si>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Fløtemysost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</si>
  <si>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</si>
  <si>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</si>
  <si>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</si>
  <si>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</si>
  <si>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</si>
  <si>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</si>
  <si>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SORTING TABLE DATA</t>
  </si>
  <si>
    <t>CUSTOM LIST SORT</t>
  </si>
  <si>
    <t>Order ID</t>
  </si>
  <si>
    <t>Customer</t>
  </si>
  <si>
    <t>Order Date</t>
  </si>
  <si>
    <t>Required Date</t>
  </si>
  <si>
    <t>Shipped Date</t>
  </si>
  <si>
    <t>Ship Via</t>
  </si>
  <si>
    <t>Freight</t>
  </si>
  <si>
    <t>Ship Name</t>
  </si>
  <si>
    <t>Ship Country</t>
  </si>
  <si>
    <t>Hanari Carnes</t>
  </si>
  <si>
    <t>United Package</t>
  </si>
  <si>
    <t>Brazil</t>
  </si>
  <si>
    <t>Suprêmes délices</t>
  </si>
  <si>
    <t>Belgium</t>
  </si>
  <si>
    <t>Chop-suey Chinese</t>
  </si>
  <si>
    <t>Switzerland</t>
  </si>
  <si>
    <t>Wellington Importadora</t>
  </si>
  <si>
    <t>Que Delícia</t>
  </si>
  <si>
    <t>Split Rail Beer &amp; Ale</t>
  </si>
  <si>
    <t>USA</t>
  </si>
  <si>
    <t>Rattlesnake Canyon Grocery</t>
  </si>
  <si>
    <t>Berglunds snabbköp</t>
  </si>
  <si>
    <t>Sweden</t>
  </si>
  <si>
    <t>Lehmanns Marktstand</t>
  </si>
  <si>
    <t>Germany</t>
  </si>
  <si>
    <t>QUICK-Stop</t>
  </si>
  <si>
    <t>Tradição Hipermercados</t>
  </si>
  <si>
    <t>Vins et alcools Chevalier</t>
  </si>
  <si>
    <t>France</t>
  </si>
  <si>
    <t>Blondel père et fils</t>
  </si>
  <si>
    <t>Hungry Owl All-Night Grocers</t>
  </si>
  <si>
    <t>Ireland</t>
  </si>
  <si>
    <t>Ricardo Adocicados</t>
  </si>
  <si>
    <t>Magazzini Alimentari Riuniti</t>
  </si>
  <si>
    <t>Italy</t>
  </si>
  <si>
    <t>Die Wandernde Kuh</t>
  </si>
  <si>
    <t>Godos Cocina Típica</t>
  </si>
  <si>
    <t>Spain</t>
  </si>
  <si>
    <t>Tortuga Restaurante</t>
  </si>
  <si>
    <t>Mexico</t>
  </si>
  <si>
    <t>Lonesome Pine Restaurant</t>
  </si>
  <si>
    <t>The Big Cheese</t>
  </si>
  <si>
    <t>Island Trading</t>
  </si>
  <si>
    <t>UK</t>
  </si>
  <si>
    <t>Bólido Comidas preparadas</t>
  </si>
  <si>
    <t>Mère Paillarde</t>
  </si>
  <si>
    <t>Canada</t>
  </si>
  <si>
    <t>Victuailles en stock</t>
  </si>
  <si>
    <t>Princesa Isabel Vinhos</t>
  </si>
  <si>
    <t>Portugal</t>
  </si>
  <si>
    <t>Frankenversand</t>
  </si>
  <si>
    <t>White Clover Markets</t>
  </si>
  <si>
    <t>La maison d'Asie</t>
  </si>
  <si>
    <t>Antonio Moreno Taquería</t>
  </si>
  <si>
    <t>Galería del gastrónomo</t>
  </si>
  <si>
    <t>Galería del gastronómo</t>
  </si>
  <si>
    <t>Ernst Handel</t>
  </si>
  <si>
    <t>Austria</t>
  </si>
  <si>
    <t>Queen Cozinha</t>
  </si>
  <si>
    <t>Hungry Coyote Import Store</t>
  </si>
  <si>
    <t>Santé Gourmet</t>
  </si>
  <si>
    <t>Norway</t>
  </si>
  <si>
    <t>Bottom-Dollar Markets</t>
  </si>
  <si>
    <t>Ottilies Käseladen</t>
  </si>
  <si>
    <t>Wartian Herkku</t>
  </si>
  <si>
    <t>Finland</t>
  </si>
  <si>
    <t>Richter Supermarkt</t>
  </si>
  <si>
    <t>Piccolo und mehr</t>
  </si>
  <si>
    <t>Folk och fä HB</t>
  </si>
  <si>
    <t>Consolidated Holdings</t>
  </si>
  <si>
    <t>Toms Spezialitäten</t>
  </si>
  <si>
    <t>Save-a-lot Markets</t>
  </si>
  <si>
    <t>Old World Delicatessen</t>
  </si>
  <si>
    <t>Rancho grande</t>
  </si>
  <si>
    <t>Argentina</t>
  </si>
  <si>
    <t>Around the Horn</t>
  </si>
  <si>
    <t>Königlich Essen</t>
  </si>
  <si>
    <t>Furia Bacalhau e Frutos do Mar</t>
  </si>
  <si>
    <t>Bon app'</t>
  </si>
  <si>
    <t>Pericles Comidas clásicas</t>
  </si>
  <si>
    <t>Folies gourmandes</t>
  </si>
  <si>
    <t>LINO-Delicateses</t>
  </si>
  <si>
    <t>Venezuela</t>
  </si>
  <si>
    <t>HILARIÓN-Abastos</t>
  </si>
  <si>
    <t>Comércio Mineiro</t>
  </si>
  <si>
    <t>LILA-Supermercado</t>
  </si>
  <si>
    <t>Familia Arquibaldo</t>
  </si>
  <si>
    <t>Cactus Comidas para llevar</t>
  </si>
  <si>
    <t>Seven Seas Imports</t>
  </si>
  <si>
    <t>Great Lakes Food Market</t>
  </si>
  <si>
    <t>Maison Dewey</t>
  </si>
  <si>
    <t>Lazy K Kountry Store</t>
  </si>
  <si>
    <t>Trail's Head Gourmet Provisioners</t>
  </si>
  <si>
    <t>Let's Stop N Shop</t>
  </si>
  <si>
    <t>Blauer See Delikatessen</t>
  </si>
  <si>
    <t>Vaffeljernet</t>
  </si>
  <si>
    <t>Denmark</t>
  </si>
  <si>
    <t>Du monde entier</t>
  </si>
  <si>
    <t>Wolski  Zajazd</t>
  </si>
  <si>
    <t>Wolski Zajazd</t>
  </si>
  <si>
    <t>Poland</t>
  </si>
  <si>
    <t>The Cracker Box</t>
  </si>
  <si>
    <t>Gourmet Lanchonetes</t>
  </si>
  <si>
    <t>Reggiani Caseifici</t>
  </si>
  <si>
    <t>Alfreds Futterkiste</t>
  </si>
  <si>
    <t>Morgenstern Gesundkost</t>
  </si>
  <si>
    <t>Drachenblut Delikatessen</t>
  </si>
  <si>
    <t>Simons bistro</t>
  </si>
  <si>
    <t>Océano Atlántico Ltda.</t>
  </si>
  <si>
    <t>Romero y tomillo</t>
  </si>
  <si>
    <t>B's Beverages</t>
  </si>
  <si>
    <t>Spécialités du monde</t>
  </si>
  <si>
    <t>France restauration</t>
  </si>
  <si>
    <t>La corne d'abondance</t>
  </si>
  <si>
    <t>Eastern Connection</t>
  </si>
  <si>
    <t>Franchi S.p.A.</t>
  </si>
  <si>
    <t>Wilman Kala</t>
  </si>
  <si>
    <t>Federal Shipping</t>
  </si>
  <si>
    <t>Centro comercial Moctezuma</t>
  </si>
  <si>
    <t>GROSELLA-Restaurante</t>
  </si>
  <si>
    <t>Ana Trujillo Emparedados y helados</t>
  </si>
  <si>
    <t>Laughing Bacchus Wine Cellars</t>
  </si>
  <si>
    <t>North/South</t>
  </si>
  <si>
    <t>Speedy Express</t>
  </si>
  <si>
    <t>FILTERING LIST DATA</t>
  </si>
  <si>
    <t>LIST SUBTOTAL</t>
  </si>
  <si>
    <t xml:space="preserve">Sub Total </t>
  </si>
  <si>
    <t>REMOVE DUPLICATES</t>
  </si>
  <si>
    <t>Employee ID</t>
  </si>
  <si>
    <t>Last Name</t>
  </si>
  <si>
    <t>First Name</t>
  </si>
  <si>
    <t>Title</t>
  </si>
  <si>
    <t>Title Of Courtesy</t>
  </si>
  <si>
    <t>Birth Date</t>
  </si>
  <si>
    <t>Hire Date</t>
  </si>
  <si>
    <t>Address</t>
  </si>
  <si>
    <t>City</t>
  </si>
  <si>
    <t>Region</t>
  </si>
  <si>
    <t>Postal Code</t>
  </si>
  <si>
    <t>Country</t>
  </si>
  <si>
    <t>Home Phone</t>
  </si>
  <si>
    <t>Davoliibko</t>
  </si>
  <si>
    <t>Nancy</t>
  </si>
  <si>
    <t>Sales Representative</t>
  </si>
  <si>
    <t>Ms.</t>
  </si>
  <si>
    <t>507 - 20th Ave. E. Apt. 2A</t>
  </si>
  <si>
    <t>Seattle</t>
  </si>
  <si>
    <t>WA</t>
  </si>
  <si>
    <t>(206) 555-9857</t>
  </si>
  <si>
    <t>Cencini</t>
  </si>
  <si>
    <t>Andrew</t>
  </si>
  <si>
    <t>Vice President, Sales</t>
  </si>
  <si>
    <t>Mr.</t>
  </si>
  <si>
    <t>123 2nd Avenue</t>
  </si>
  <si>
    <t>Bellevue</t>
  </si>
  <si>
    <t>(123)555-0100</t>
  </si>
  <si>
    <t>Fuller</t>
  </si>
  <si>
    <t>Dr.</t>
  </si>
  <si>
    <t>908 W. Capital Way</t>
  </si>
  <si>
    <t>Tacoma</t>
  </si>
  <si>
    <t>(206) 555-9482</t>
  </si>
  <si>
    <t>Leverling</t>
  </si>
  <si>
    <t>Janet</t>
  </si>
  <si>
    <t>722 Moss Bay Blvd.</t>
  </si>
  <si>
    <t>Kirkland</t>
  </si>
  <si>
    <t>(206) 555-3412</t>
  </si>
  <si>
    <t>Peacock</t>
  </si>
  <si>
    <t>Margaret</t>
  </si>
  <si>
    <t>Mrs.</t>
  </si>
  <si>
    <t>4110 Old Redmond Rd.</t>
  </si>
  <si>
    <t>Redmond</t>
  </si>
  <si>
    <t>(206) 555-8122</t>
  </si>
  <si>
    <t>Neipper</t>
  </si>
  <si>
    <t>Michael</t>
  </si>
  <si>
    <t>123 6th Avenue</t>
  </si>
  <si>
    <t>Buchanan</t>
  </si>
  <si>
    <t>Steven</t>
  </si>
  <si>
    <t>Sales Manager</t>
  </si>
  <si>
    <t>14 Garrett Hill</t>
  </si>
  <si>
    <t>London</t>
  </si>
  <si>
    <t/>
  </si>
  <si>
    <t>SW1 8JR</t>
  </si>
  <si>
    <t>(71) 555-4848</t>
  </si>
  <si>
    <t>Suyama</t>
  </si>
  <si>
    <t>Coventry House Miner Rd.</t>
  </si>
  <si>
    <t>EC2 7JR</t>
  </si>
  <si>
    <t>(71) 555-7773</t>
  </si>
  <si>
    <t>King</t>
  </si>
  <si>
    <t>Robert</t>
  </si>
  <si>
    <t>Edgeham Hollow Winchester Way</t>
  </si>
  <si>
    <t>RG1 9SP</t>
  </si>
  <si>
    <t>(71) 555-5598</t>
  </si>
  <si>
    <t>Callahan</t>
  </si>
  <si>
    <t>Laura</t>
  </si>
  <si>
    <t>Inside Sales Coordinator</t>
  </si>
  <si>
    <t>4726 - 11th Ave. N.E.</t>
  </si>
  <si>
    <t>(206) 555-1189</t>
  </si>
  <si>
    <t>Dodsworth</t>
  </si>
  <si>
    <t>Anne</t>
  </si>
  <si>
    <t>7 Houndstooth Rd.</t>
  </si>
  <si>
    <t>WG2 7LT</t>
  </si>
  <si>
    <t>(71) 555-4444</t>
  </si>
  <si>
    <t>Hellung-Larsen</t>
  </si>
  <si>
    <t>123 9th Avenue</t>
  </si>
  <si>
    <t>Freehafer</t>
  </si>
  <si>
    <t>123 1st Avenue</t>
  </si>
  <si>
    <t>Kotas</t>
  </si>
  <si>
    <t>Jan</t>
  </si>
  <si>
    <t>123 3rd Avenue</t>
  </si>
  <si>
    <t>Sergienko</t>
  </si>
  <si>
    <t>Mariya</t>
  </si>
  <si>
    <t>123 4th Avenue</t>
  </si>
  <si>
    <t>Thorpe</t>
  </si>
  <si>
    <t>123 5th Avenue</t>
  </si>
  <si>
    <t>Zare</t>
  </si>
  <si>
    <t>123 7th Avenue</t>
  </si>
  <si>
    <t>Giussani</t>
  </si>
  <si>
    <t>Sales Coordinator</t>
  </si>
  <si>
    <t>123 8th Avenue</t>
  </si>
  <si>
    <t>SUBTOTAL() FUNCTION</t>
  </si>
  <si>
    <t>Total Unit Price</t>
  </si>
  <si>
    <t>Average Unit Price</t>
  </si>
  <si>
    <t>Quantity Per Unit</t>
  </si>
  <si>
    <t>10 boxes x 20 bags</t>
  </si>
  <si>
    <t>24 - 12 oz bottles</t>
  </si>
  <si>
    <t>12 - 355 ml cans</t>
  </si>
  <si>
    <t>12 - 75 cl bottles</t>
  </si>
  <si>
    <t>750 cc per bottle</t>
  </si>
  <si>
    <t>16 - 500 g tins</t>
  </si>
  <si>
    <t>24 - 355 ml bottles</t>
  </si>
  <si>
    <t>24 - 0.5 l bottles</t>
  </si>
  <si>
    <t xml:space="preserve">500 ml </t>
  </si>
  <si>
    <t>Beverages Total</t>
  </si>
  <si>
    <t>12 - 550 ml bottles</t>
  </si>
  <si>
    <t>48 - 6 oz jars</t>
  </si>
  <si>
    <t>36 boxes</t>
  </si>
  <si>
    <t>12 - 8 oz jars</t>
  </si>
  <si>
    <t>12 - 12 oz jars</t>
  </si>
  <si>
    <t>24 - 250 ml bottles</t>
  </si>
  <si>
    <t>20 - 2 kg bags</t>
  </si>
  <si>
    <t>24 - 500 ml bottles</t>
  </si>
  <si>
    <t>15 - 625 g jars</t>
  </si>
  <si>
    <t>32 - 8 oz bottles</t>
  </si>
  <si>
    <t>24 - 8 oz jars</t>
  </si>
  <si>
    <t>12 boxes</t>
  </si>
  <si>
    <t>Condiments Total</t>
  </si>
  <si>
    <t>32 - 500 g boxes</t>
  </si>
  <si>
    <t>10 boxes x 12 pieces</t>
  </si>
  <si>
    <t>30 gift boxes</t>
  </si>
  <si>
    <t>24 pkgs. x 4 pieces</t>
  </si>
  <si>
    <t>20 - 450 g glasses</t>
  </si>
  <si>
    <t>100 - 250 g bags</t>
  </si>
  <si>
    <t>100 - 100 g pieces</t>
  </si>
  <si>
    <t>10 - 4 oz boxes</t>
  </si>
  <si>
    <t>10 pkgs.</t>
  </si>
  <si>
    <t>24 - 50 g pkgs.</t>
  </si>
  <si>
    <t>12 - 100 g bars</t>
  </si>
  <si>
    <t>48 pies</t>
  </si>
  <si>
    <t>10 boxes x 8 pieces</t>
  </si>
  <si>
    <t>Confections Total</t>
  </si>
  <si>
    <t>1 kg pkg.</t>
  </si>
  <si>
    <t>10 - 500 g pkgs.</t>
  </si>
  <si>
    <t>12 - 100 g pkgs</t>
  </si>
  <si>
    <t>24 - 200 g pkgs.</t>
  </si>
  <si>
    <t>500 g</t>
  </si>
  <si>
    <t>5 kg pkg.</t>
  </si>
  <si>
    <t>15 - 300 g rounds</t>
  </si>
  <si>
    <t>10 kg pkg.</t>
  </si>
  <si>
    <t>Dairy Products Total</t>
  </si>
  <si>
    <t>24 - 500 g pkgs.</t>
  </si>
  <si>
    <t>12 - 250 g pkgs.</t>
  </si>
  <si>
    <t>32 - 1 kg pkgs.</t>
  </si>
  <si>
    <t>16 - 2 kg boxes</t>
  </si>
  <si>
    <t>24 - 250 g pkgs.</t>
  </si>
  <si>
    <t>20 bags x 4 pieces</t>
  </si>
  <si>
    <t>Grains/Cereals Total</t>
  </si>
  <si>
    <t>18 - 500 g pkgs.</t>
  </si>
  <si>
    <t>20 - 1 kg tins</t>
  </si>
  <si>
    <t>50 bags x 30 sausgs.</t>
  </si>
  <si>
    <t>48 pieces</t>
  </si>
  <si>
    <t>16 pies</t>
  </si>
  <si>
    <t>24 boxes x 2 pies</t>
  </si>
  <si>
    <t>Meat/Poultry Total</t>
  </si>
  <si>
    <t>12 - 1 lb pkgs.</t>
  </si>
  <si>
    <t>40 - 100 g pkgs.</t>
  </si>
  <si>
    <t>25 - 825 g cans</t>
  </si>
  <si>
    <t>50 - 300 g pkgs.</t>
  </si>
  <si>
    <t>Produce Total</t>
  </si>
  <si>
    <t>12 - 200 ml jars</t>
  </si>
  <si>
    <t>2 kg box</t>
  </si>
  <si>
    <t>16 kg pkg.</t>
  </si>
  <si>
    <t>10 - 200 g glasses</t>
  </si>
  <si>
    <t>24 - 250 g  jars</t>
  </si>
  <si>
    <t>12 - 500 g pkgs.</t>
  </si>
  <si>
    <t>24 - 4 oz tins</t>
  </si>
  <si>
    <t>12 - 12 oz cans</t>
  </si>
  <si>
    <t>1k pkg.</t>
  </si>
  <si>
    <t>4 - 450 g glasses</t>
  </si>
  <si>
    <t>24 pieces</t>
  </si>
  <si>
    <t>24 - 150 g jars</t>
  </si>
  <si>
    <t>Seafood Total</t>
  </si>
  <si>
    <t>Grand Total</t>
  </si>
  <si>
    <t>DSUM() FUNCTION</t>
  </si>
  <si>
    <t>Ship Date</t>
  </si>
  <si>
    <t>Fee</t>
  </si>
  <si>
    <t>Type</t>
  </si>
  <si>
    <t>Status</t>
  </si>
  <si>
    <t>Company AA</t>
  </si>
  <si>
    <t>Company B</t>
  </si>
  <si>
    <t>Check</t>
  </si>
  <si>
    <t>Closed</t>
  </si>
  <si>
    <t>Company D</t>
  </si>
  <si>
    <t>Company A</t>
  </si>
  <si>
    <t>Credit Card</t>
  </si>
  <si>
    <t>Company L</t>
  </si>
  <si>
    <t>Company H</t>
  </si>
  <si>
    <t>Company C</t>
  </si>
  <si>
    <t>Company CC</t>
  </si>
  <si>
    <t>Cash</t>
  </si>
  <si>
    <t>Company F</t>
  </si>
  <si>
    <t>STATUS</t>
  </si>
  <si>
    <t>TYPE</t>
  </si>
  <si>
    <t>TOTAL FEE</t>
  </si>
  <si>
    <t>Company BB</t>
  </si>
  <si>
    <t>closed</t>
  </si>
  <si>
    <t>credit card</t>
  </si>
  <si>
    <t>check</t>
  </si>
  <si>
    <t>Company J</t>
  </si>
  <si>
    <t>Company G</t>
  </si>
  <si>
    <t>New</t>
  </si>
  <si>
    <t>Shipped</t>
  </si>
  <si>
    <t>Company K</t>
  </si>
  <si>
    <t>Company I</t>
  </si>
  <si>
    <t>Company Y</t>
  </si>
  <si>
    <t>Company Z</t>
  </si>
  <si>
    <t>DATABASE FUNCTIONS</t>
  </si>
  <si>
    <t>AVERAGE FEE</t>
  </si>
  <si>
    <t>STATUS COUNT</t>
  </si>
  <si>
    <t>Row Labels</t>
  </si>
  <si>
    <t>Sum of Freight</t>
  </si>
  <si>
    <t>Average of Freight2</t>
  </si>
  <si>
    <t>(blank)</t>
  </si>
  <si>
    <t>PIVOTTABLES</t>
  </si>
  <si>
    <t>Employee</t>
  </si>
  <si>
    <t>Buchanan, Steven</t>
  </si>
  <si>
    <t>Suyama, Michael</t>
  </si>
  <si>
    <t>Peacock, Margaret</t>
  </si>
  <si>
    <t>Leverling, Janet</t>
  </si>
  <si>
    <t>Dodsworth, Anne</t>
  </si>
  <si>
    <t>Davolio, Nancy</t>
  </si>
  <si>
    <t>Callahan, Laura</t>
  </si>
  <si>
    <t>Fuller, Andrew</t>
  </si>
  <si>
    <t>King, Robert</t>
  </si>
  <si>
    <t>Total</t>
  </si>
  <si>
    <t>(All)</t>
  </si>
  <si>
    <t>Total Freight</t>
  </si>
  <si>
    <t>DATE TIMELINE HERE</t>
  </si>
  <si>
    <t>SHIP VIA SLICER 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</si>
</sst>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#,##0;[Red]#,##0"/>
    <numFmt numFmtId="180" formatCode="dd\-mmm\-yyyy"/>
    <numFmt numFmtId="181" formatCode="00000"/>
  </numFmts>
  <fonts count="31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theme="5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/>
      <right style="thin">
        <color theme="5" tint="0.399975585192419"/>
      </right>
      <top style="thin">
        <color theme="5" tint="0.399975585192419"/>
      </top>
      <bottom/>
      <diagonal/>
    </border>
    <border>
      <left style="thin">
        <color theme="5" tint="0.399975585192419"/>
      </left>
      <right/>
      <top style="double">
        <color theme="5"/>
      </top>
      <bottom style="thin">
        <color theme="5" tint="0.399975585192419"/>
      </bottom>
      <diagonal/>
    </border>
    <border>
      <left/>
      <right/>
      <top style="double">
        <color theme="5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double">
        <color theme="5"/>
      </top>
      <bottom style="thin">
        <color theme="5" tint="0.39997558519241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75585192419"/>
      </left>
      <right/>
      <top style="thin">
        <color theme="5" tint="0.399975585192419"/>
      </top>
      <bottom style="thin">
        <color theme="5" tint="0.399975585192419"/>
      </bottom>
      <diagonal/>
    </border>
    <border>
      <left/>
      <right/>
      <top style="thin">
        <color theme="5" tint="0.399975585192419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5" tint="0.39997558519241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theme="5" tint="0.399975585192419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theme="5" tint="0.399975585192419"/>
      </right>
      <top style="thin">
        <color theme="5" tint="0.399975585192419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5" tint="0.399975585192419"/>
      </right>
      <top style="thin">
        <color theme="5" tint="0.399975585192419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3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34" applyNumberFormat="0" applyAlignment="0" applyProtection="0">
      <alignment vertical="center"/>
    </xf>
    <xf numFmtId="0" fontId="20" fillId="12" borderId="35" applyNumberFormat="0" applyAlignment="0" applyProtection="0">
      <alignment vertical="center"/>
    </xf>
    <xf numFmtId="0" fontId="21" fillId="12" borderId="34" applyNumberFormat="0" applyAlignment="0" applyProtection="0">
      <alignment vertical="center"/>
    </xf>
    <xf numFmtId="0" fontId="22" fillId="13" borderId="36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0" fillId="0" borderId="0"/>
    <xf numFmtId="0" fontId="3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78" fontId="0" fillId="0" borderId="0" xfId="0" applyNumberFormat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9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0" fillId="5" borderId="9" xfId="0" applyFont="1" applyFill="1" applyBorder="1"/>
    <xf numFmtId="0" fontId="0" fillId="5" borderId="10" xfId="0" applyFont="1" applyFill="1" applyBorder="1"/>
    <xf numFmtId="58" fontId="0" fillId="5" borderId="10" xfId="0" applyNumberFormat="1" applyFont="1" applyFill="1" applyBorder="1"/>
    <xf numFmtId="44" fontId="0" fillId="5" borderId="10" xfId="2" applyNumberFormat="1" applyFont="1" applyFill="1" applyBorder="1"/>
    <xf numFmtId="0" fontId="0" fillId="5" borderId="11" xfId="0" applyFont="1" applyFill="1" applyBorder="1"/>
    <xf numFmtId="0" fontId="0" fillId="0" borderId="9" xfId="0" applyFont="1" applyBorder="1"/>
    <xf numFmtId="0" fontId="0" fillId="0" borderId="10" xfId="0" applyFont="1" applyBorder="1"/>
    <xf numFmtId="58" fontId="0" fillId="0" borderId="10" xfId="0" applyNumberFormat="1" applyFont="1" applyBorder="1"/>
    <xf numFmtId="44" fontId="0" fillId="0" borderId="10" xfId="2" applyNumberFormat="1" applyFont="1" applyBorder="1"/>
    <xf numFmtId="0" fontId="0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0" xfId="0" applyNumberFormat="1"/>
    <xf numFmtId="0" fontId="6" fillId="3" borderId="15" xfId="0" applyFont="1" applyFill="1" applyBorder="1"/>
    <xf numFmtId="0" fontId="0" fillId="6" borderId="16" xfId="0" applyFill="1" applyBorder="1"/>
    <xf numFmtId="44" fontId="0" fillId="7" borderId="16" xfId="2" applyFont="1" applyFill="1" applyBorder="1"/>
    <xf numFmtId="179" fontId="0" fillId="7" borderId="16" xfId="2" applyNumberFormat="1" applyFont="1" applyFill="1" applyBorder="1"/>
    <xf numFmtId="0" fontId="0" fillId="0" borderId="17" xfId="0" applyFont="1" applyBorder="1"/>
    <xf numFmtId="0" fontId="0" fillId="0" borderId="18" xfId="0" applyFont="1" applyBorder="1"/>
    <xf numFmtId="58" fontId="0" fillId="0" borderId="18" xfId="0" applyNumberFormat="1" applyFont="1" applyBorder="1"/>
    <xf numFmtId="44" fontId="0" fillId="0" borderId="18" xfId="2" applyNumberFormat="1" applyFont="1" applyBorder="1"/>
    <xf numFmtId="0" fontId="0" fillId="0" borderId="19" xfId="0" applyFont="1" applyBorder="1"/>
    <xf numFmtId="44" fontId="0" fillId="0" borderId="20" xfId="2" applyFont="1" applyBorder="1"/>
    <xf numFmtId="44" fontId="0" fillId="0" borderId="21" xfId="2" applyFont="1" applyBorder="1"/>
    <xf numFmtId="178" fontId="0" fillId="0" borderId="0" xfId="2" applyNumberFormat="1" applyFont="1"/>
    <xf numFmtId="0" fontId="7" fillId="8" borderId="16" xfId="0" applyFont="1" applyFill="1" applyBorder="1"/>
    <xf numFmtId="178" fontId="0" fillId="0" borderId="16" xfId="0" applyNumberFormat="1" applyBorder="1"/>
    <xf numFmtId="0" fontId="4" fillId="4" borderId="22" xfId="0" applyFont="1" applyFill="1" applyBorder="1"/>
    <xf numFmtId="0" fontId="4" fillId="4" borderId="23" xfId="0" applyFont="1" applyFill="1" applyBorder="1"/>
    <xf numFmtId="178" fontId="4" fillId="4" borderId="23" xfId="2" applyNumberFormat="1" applyFont="1" applyFill="1" applyBorder="1"/>
    <xf numFmtId="0" fontId="4" fillId="4" borderId="24" xfId="0" applyFont="1" applyFill="1" applyBorder="1"/>
    <xf numFmtId="0" fontId="8" fillId="5" borderId="25" xfId="49" applyNumberFormat="1" applyFont="1" applyFill="1" applyBorder="1" applyAlignment="1">
      <alignment wrapText="1"/>
    </xf>
    <xf numFmtId="178" fontId="8" fillId="5" borderId="25" xfId="2" applyNumberFormat="1" applyFont="1" applyFill="1" applyBorder="1" applyAlignment="1">
      <alignment wrapText="1"/>
    </xf>
    <xf numFmtId="0" fontId="0" fillId="5" borderId="26" xfId="0" applyFont="1" applyFill="1" applyBorder="1"/>
    <xf numFmtId="0" fontId="8" fillId="0" borderId="25" xfId="49" applyNumberFormat="1" applyFont="1" applyBorder="1" applyAlignment="1">
      <alignment wrapText="1"/>
    </xf>
    <xf numFmtId="178" fontId="8" fillId="0" borderId="25" xfId="2" applyNumberFormat="1" applyFont="1" applyBorder="1" applyAlignment="1">
      <alignment wrapText="1"/>
    </xf>
    <xf numFmtId="0" fontId="0" fillId="0" borderId="26" xfId="0" applyFont="1" applyBorder="1"/>
    <xf numFmtId="0" fontId="9" fillId="0" borderId="25" xfId="49" applyNumberFormat="1" applyFont="1" applyBorder="1" applyAlignment="1">
      <alignment wrapText="1"/>
    </xf>
    <xf numFmtId="0" fontId="9" fillId="5" borderId="25" xfId="49" applyNumberFormat="1" applyFont="1" applyFill="1" applyBorder="1" applyAlignment="1">
      <alignment wrapText="1"/>
    </xf>
    <xf numFmtId="0" fontId="8" fillId="5" borderId="27" xfId="49" applyNumberFormat="1" applyFont="1" applyFill="1" applyBorder="1" applyAlignment="1">
      <alignment wrapText="1"/>
    </xf>
    <xf numFmtId="178" fontId="8" fillId="5" borderId="27" xfId="2" applyNumberFormat="1" applyFont="1" applyFill="1" applyBorder="1" applyAlignment="1">
      <alignment wrapText="1"/>
    </xf>
    <xf numFmtId="0" fontId="0" fillId="5" borderId="28" xfId="0" applyFont="1" applyFill="1" applyBorder="1"/>
    <xf numFmtId="0" fontId="8" fillId="5" borderId="0" xfId="49" applyNumberFormat="1" applyFont="1" applyFill="1" applyBorder="1" applyAlignment="1">
      <alignment wrapText="1"/>
    </xf>
    <xf numFmtId="0" fontId="9" fillId="5" borderId="0" xfId="49" applyNumberFormat="1" applyFont="1" applyFill="1" applyBorder="1" applyAlignment="1">
      <alignment wrapText="1"/>
    </xf>
    <xf numFmtId="178" fontId="8" fillId="5" borderId="0" xfId="2" applyNumberFormat="1" applyFont="1" applyFill="1" applyBorder="1" applyAlignment="1">
      <alignment wrapText="1"/>
    </xf>
    <xf numFmtId="0" fontId="0" fillId="5" borderId="0" xfId="0" applyFont="1" applyFill="1" applyBorder="1"/>
    <xf numFmtId="180" fontId="0" fillId="0" borderId="0" xfId="0" applyNumberFormat="1"/>
    <xf numFmtId="181" fontId="0" fillId="0" borderId="0" xfId="0" applyNumberFormat="1"/>
    <xf numFmtId="0" fontId="8" fillId="0" borderId="29" xfId="49" applyFont="1" applyBorder="1" applyAlignment="1">
      <alignment wrapText="1"/>
    </xf>
    <xf numFmtId="180" fontId="8" fillId="0" borderId="29" xfId="49" applyNumberFormat="1" applyFont="1" applyBorder="1" applyAlignment="1">
      <alignment wrapText="1"/>
    </xf>
    <xf numFmtId="0" fontId="8" fillId="0" borderId="29" xfId="50" applyFont="1" applyBorder="1" applyAlignment="1">
      <alignment wrapText="1"/>
    </xf>
    <xf numFmtId="181" fontId="8" fillId="0" borderId="29" xfId="50" applyNumberFormat="1" applyFont="1" applyBorder="1" applyAlignment="1">
      <alignment wrapText="1"/>
    </xf>
    <xf numFmtId="0" fontId="8" fillId="0" borderId="0" xfId="50" applyFont="1" applyAlignment="1">
      <alignment wrapText="1"/>
    </xf>
    <xf numFmtId="181" fontId="8" fillId="0" borderId="0" xfId="50" applyNumberFormat="1" applyFont="1" applyAlignment="1">
      <alignment wrapText="1"/>
    </xf>
    <xf numFmtId="0" fontId="8" fillId="0" borderId="30" xfId="49" applyFont="1" applyBorder="1" applyAlignment="1">
      <alignment wrapText="1"/>
    </xf>
    <xf numFmtId="180" fontId="8" fillId="0" borderId="30" xfId="49" applyNumberFormat="1" applyFont="1" applyBorder="1" applyAlignment="1">
      <alignment wrapText="1"/>
    </xf>
    <xf numFmtId="0" fontId="0" fillId="5" borderId="9" xfId="0" applyFill="1" applyBorder="1"/>
    <xf numFmtId="0" fontId="0" fillId="5" borderId="10" xfId="0" applyFill="1" applyBorder="1"/>
    <xf numFmtId="44" fontId="0" fillId="5" borderId="10" xfId="2" applyFont="1" applyFill="1" applyBorder="1"/>
    <xf numFmtId="0" fontId="0" fillId="5" borderId="11" xfId="0" applyFill="1" applyBorder="1"/>
    <xf numFmtId="0" fontId="0" fillId="0" borderId="9" xfId="0" applyBorder="1"/>
    <xf numFmtId="0" fontId="0" fillId="0" borderId="10" xfId="0" applyBorder="1"/>
    <xf numFmtId="44" fontId="0" fillId="0" borderId="10" xfId="2" applyFont="1" applyBorder="1"/>
    <xf numFmtId="0" fontId="0" fillId="0" borderId="11" xfId="0" applyBorder="1"/>
    <xf numFmtId="0" fontId="0" fillId="9" borderId="9" xfId="0" applyFill="1" applyBorder="1"/>
    <xf numFmtId="0" fontId="0" fillId="9" borderId="10" xfId="0" applyFill="1" applyBorder="1"/>
    <xf numFmtId="44" fontId="0" fillId="9" borderId="10" xfId="2" applyFont="1" applyFill="1" applyBorder="1"/>
    <xf numFmtId="0" fontId="0" fillId="9" borderId="11" xfId="0" applyFill="1" applyBorder="1"/>
    <xf numFmtId="0" fontId="0" fillId="5" borderId="17" xfId="0" applyFill="1" applyBorder="1"/>
    <xf numFmtId="0" fontId="0" fillId="5" borderId="18" xfId="0" applyFill="1" applyBorder="1"/>
    <xf numFmtId="44" fontId="0" fillId="5" borderId="18" xfId="2" applyFont="1" applyFill="1" applyBorder="1"/>
    <xf numFmtId="0" fontId="0" fillId="5" borderId="19" xfId="0" applyFill="1" applyBorder="1"/>
    <xf numFmtId="0" fontId="5" fillId="0" borderId="0" xfId="0" applyFont="1"/>
    <xf numFmtId="44" fontId="0" fillId="0" borderId="0" xfId="2" applyFont="1"/>
    <xf numFmtId="0" fontId="0" fillId="0" borderId="29" xfId="0" applyBorder="1"/>
    <xf numFmtId="180" fontId="0" fillId="0" borderId="29" xfId="0" applyNumberFormat="1" applyBorder="1"/>
    <xf numFmtId="0" fontId="0" fillId="0" borderId="30" xfId="0" applyBorder="1"/>
    <xf numFmtId="180" fontId="0" fillId="0" borderId="30" xfId="0" applyNumberFormat="1" applyBorder="1"/>
    <xf numFmtId="0" fontId="8" fillId="0" borderId="0" xfId="49" applyFont="1" applyAlignment="1">
      <alignment wrapText="1"/>
    </xf>
    <xf numFmtId="180" fontId="8" fillId="0" borderId="0" xfId="49" applyNumberFormat="1" applyFont="1" applyAlignment="1">
      <alignment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ustomer Info" xfId="49"/>
    <cellStyle name="Normal_Sheet2" xfId="50"/>
  </cellStyles>
  <dxfs count="16">
    <dxf>
      <numFmt numFmtId="180" formatCode="dd\-mmm\-yyyy"/>
    </dxf>
    <dxf>
      <numFmt numFmtId="180" formatCode="dd\-mmm\-yyyy"/>
    </dxf>
    <dxf>
      <numFmt numFmtId="180" formatCode="dd\-mmm\-yyyy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horizontal="right"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80" formatCode="dd\-mmm\-yyyy"/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80" formatCode="dd\-mmm\-yyyy"/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81" formatCode="00000"/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ill>
        <patternFill patternType="solid">
          <bgColor theme="4" tint="-0.2499465926084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1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pivot 01.xlsx]DASHBOARD PIVOTABLE!PivotTable2</c:name>
    <c:fmtId val="1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PIVOTABLE'!$C$3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'DASHBOARD PIVOTABLE'!$B$4:$B$25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'DASHBOARD PIVOTABLE'!$C$4:$C$25</c:f>
              <c:numCache>
                <c:formatCode>"$"#,##0.00</c:formatCode>
                <c:ptCount val="21"/>
                <c:pt idx="0">
                  <c:v>144.804</c:v>
                </c:pt>
                <c:pt idx="1">
                  <c:v>2440.427</c:v>
                </c:pt>
                <c:pt idx="2">
                  <c:v>295.9</c:v>
                </c:pt>
                <c:pt idx="3">
                  <c:v>1697.212</c:v>
                </c:pt>
                <c:pt idx="4">
                  <c:v>312.51</c:v>
                </c:pt>
                <c:pt idx="5">
                  <c:v>440.924</c:v>
                </c:pt>
                <c:pt idx="6">
                  <c:v>305.811</c:v>
                </c:pt>
                <c:pt idx="7">
                  <c:v>1264.978</c:v>
                </c:pt>
                <c:pt idx="8">
                  <c:v>3889.556</c:v>
                </c:pt>
                <c:pt idx="9">
                  <c:v>288.981</c:v>
                </c:pt>
                <c:pt idx="10">
                  <c:v>497.915</c:v>
                </c:pt>
                <c:pt idx="11">
                  <c:v>193.941</c:v>
                </c:pt>
                <c:pt idx="12">
                  <c:v>14.707</c:v>
                </c:pt>
                <c:pt idx="13">
                  <c:v>9.592</c:v>
                </c:pt>
                <c:pt idx="14">
                  <c:v>74.492</c:v>
                </c:pt>
                <c:pt idx="15">
                  <c:v>203.863</c:v>
                </c:pt>
                <c:pt idx="16">
                  <c:v>1065.57</c:v>
                </c:pt>
                <c:pt idx="17">
                  <c:v>300.861</c:v>
                </c:pt>
                <c:pt idx="18">
                  <c:v>809.468</c:v>
                </c:pt>
                <c:pt idx="19">
                  <c:v>2524.192</c:v>
                </c:pt>
                <c:pt idx="20">
                  <c:v>888.25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9728607"/>
        <c:axId val="239717087"/>
      </c:barChart>
      <c:catAx>
        <c:axId val="23972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717087"/>
        <c:crosses val="autoZero"/>
        <c:auto val="1"/>
        <c:lblAlgn val="ctr"/>
        <c:lblOffset val="100"/>
        <c:noMultiLvlLbl val="0"/>
      </c:catAx>
      <c:valAx>
        <c:axId val="239717087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7286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2dafba0-38d3-44d7-bdcf-45a0c45aec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pivot 01.xlsx]DASHBOARD PIVOTABLE!PivotTable2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PIVOTABLE'!$C$3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'DASHBOARD PIVOTABLE'!$B$4:$B$25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'DASHBOARD PIVOTABLE'!$C$4:$C$25</c:f>
              <c:numCache>
                <c:formatCode>"$"#,##0.00</c:formatCode>
                <c:ptCount val="21"/>
                <c:pt idx="0">
                  <c:v>144.804</c:v>
                </c:pt>
                <c:pt idx="1">
                  <c:v>2440.427</c:v>
                </c:pt>
                <c:pt idx="2">
                  <c:v>295.9</c:v>
                </c:pt>
                <c:pt idx="3">
                  <c:v>1697.212</c:v>
                </c:pt>
                <c:pt idx="4">
                  <c:v>312.51</c:v>
                </c:pt>
                <c:pt idx="5">
                  <c:v>440.924</c:v>
                </c:pt>
                <c:pt idx="6">
                  <c:v>305.811</c:v>
                </c:pt>
                <c:pt idx="7">
                  <c:v>1264.978</c:v>
                </c:pt>
                <c:pt idx="8">
                  <c:v>3889.556</c:v>
                </c:pt>
                <c:pt idx="9">
                  <c:v>288.981</c:v>
                </c:pt>
                <c:pt idx="10">
                  <c:v>497.915</c:v>
                </c:pt>
                <c:pt idx="11">
                  <c:v>193.941</c:v>
                </c:pt>
                <c:pt idx="12">
                  <c:v>14.707</c:v>
                </c:pt>
                <c:pt idx="13">
                  <c:v>9.592</c:v>
                </c:pt>
                <c:pt idx="14">
                  <c:v>74.492</c:v>
                </c:pt>
                <c:pt idx="15">
                  <c:v>203.863</c:v>
                </c:pt>
                <c:pt idx="16">
                  <c:v>1065.57</c:v>
                </c:pt>
                <c:pt idx="17">
                  <c:v>300.861</c:v>
                </c:pt>
                <c:pt idx="18">
                  <c:v>809.468</c:v>
                </c:pt>
                <c:pt idx="19">
                  <c:v>2524.192</c:v>
                </c:pt>
                <c:pt idx="20">
                  <c:v>888.25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311439"/>
        <c:axId val="1061309039"/>
      </c:barChart>
      <c:catAx>
        <c:axId val="1061311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1309039"/>
        <c:crosses val="autoZero"/>
        <c:auto val="1"/>
        <c:lblAlgn val="ctr"/>
        <c:lblOffset val="100"/>
        <c:noMultiLvlLbl val="0"/>
      </c:catAx>
      <c:valAx>
        <c:axId val="1061309039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13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ade1f5-ac19-490b-aa55-6eb526eb1f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hyperlink" Target="http://www.officenewb.com/" TargetMode="External"/><Relationship Id="rId3" Type="http://schemas.openxmlformats.org/officeDocument/2006/relationships/image" Target="../media/image2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208547</xdr:colOff>
      <xdr:row>6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90320" cy="96393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>
      <xdr:nvSpPr>
        <xdr:cNvPr id="3" name="Rectangle: Rounded Corners 2"/>
        <xdr:cNvSpPr/>
      </xdr:nvSpPr>
      <xdr:spPr>
        <a:xfrm>
          <a:off x="1710690" y="123825"/>
          <a:ext cx="6267450" cy="100203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Int. Microsoft Excel 102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419101</xdr:colOff>
      <xdr:row>18</xdr:row>
      <xdr:rowOff>133350</xdr:rowOff>
    </xdr:to>
    <xdr:pic>
      <xdr:nvPicPr>
        <xdr:cNvPr id="4" name="Picture 3" descr="See the source image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1520" y="1961515"/>
          <a:ext cx="1539240" cy="146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>
      <xdr:nvSpPr>
        <xdr:cNvPr id="5" name="Rectangle: Rounded Corners 4">
          <a:hlinkClick xmlns:r="http://schemas.openxmlformats.org/officeDocument/2006/relationships" r:id="rId2"/>
        </xdr:cNvPr>
        <xdr:cNvSpPr/>
      </xdr:nvSpPr>
      <xdr:spPr>
        <a:xfrm>
          <a:off x="2516505" y="2299335"/>
          <a:ext cx="5137785" cy="76962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>
      <xdr:nvSpPr>
        <xdr:cNvPr id="6" name="Rectangle: Rounded Corners 5">
          <a:hlinkClick xmlns:r="http://schemas.openxmlformats.org/officeDocument/2006/relationships" r:id="rId4"/>
        </xdr:cNvPr>
        <xdr:cNvSpPr/>
      </xdr:nvSpPr>
      <xdr:spPr>
        <a:xfrm>
          <a:off x="2506980" y="3771900"/>
          <a:ext cx="5137785" cy="44386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218072</xdr:colOff>
      <xdr:row>24</xdr:row>
      <xdr:rowOff>85725</xdr:rowOff>
    </xdr:to>
    <xdr:pic>
      <xdr:nvPicPr>
        <xdr:cNvPr id="7" name="Picture 6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3503295"/>
          <a:ext cx="1290320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15240</xdr:rowOff>
    </xdr:from>
    <xdr:to>
      <xdr:col>5</xdr:col>
      <xdr:colOff>53340</xdr:colOff>
      <xdr:row>7</xdr:row>
      <xdr:rowOff>22860</xdr:rowOff>
    </xdr:to>
    <xdr:sp>
      <xdr:nvSpPr>
        <xdr:cNvPr id="2" name="Rectangle: Rounded Corners 1"/>
        <xdr:cNvSpPr/>
      </xdr:nvSpPr>
      <xdr:spPr>
        <a:xfrm>
          <a:off x="830580" y="495300"/>
          <a:ext cx="6385560" cy="92202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FORMAT</a:t>
          </a:r>
          <a:r>
            <a:rPr lang="en-US" sz="1100" b="1" baseline="0">
              <a:solidFill>
                <a:sysClr val="windowText" lastClr="000000"/>
              </a:solidFill>
            </a:rPr>
            <a:t> LIST AS TABLE </a:t>
          </a:r>
          <a:r>
            <a:rPr lang="en-US" sz="1100" baseline="0">
              <a:solidFill>
                <a:sysClr val="windowText" lastClr="000000"/>
              </a:solidFill>
            </a:rPr>
            <a:t>(Your choice of Table Style (COLORS))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After list has been formatted as a Table...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Name the Table "</a:t>
          </a:r>
          <a:r>
            <a:rPr lang="en-US" sz="1100" b="1" baseline="0">
              <a:solidFill>
                <a:sysClr val="windowText" lastClr="000000"/>
              </a:solidFill>
            </a:rPr>
            <a:t>NW_PRODUCT_LIST</a:t>
          </a:r>
          <a:r>
            <a:rPr lang="en-US" sz="1100" b="0" baseline="0">
              <a:solidFill>
                <a:sysClr val="windowText" lastClr="000000"/>
              </a:solidFill>
            </a:rPr>
            <a:t>"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Turn on the </a:t>
          </a:r>
          <a:r>
            <a:rPr lang="en-US" sz="1100" b="1" baseline="0">
              <a:solidFill>
                <a:sysClr val="windowText" lastClr="000000"/>
              </a:solidFill>
            </a:rPr>
            <a:t>TOTAL ROW </a:t>
          </a:r>
          <a:r>
            <a:rPr lang="en-US" sz="1100" b="0" baseline="0">
              <a:solidFill>
                <a:sysClr val="windowText" lastClr="000000"/>
              </a:solidFill>
            </a:rPr>
            <a:t>and </a:t>
          </a:r>
          <a:r>
            <a:rPr lang="en-US" sz="1100" b="1" baseline="0">
              <a:solidFill>
                <a:sysClr val="windowText" lastClr="000000"/>
              </a:solidFill>
            </a:rPr>
            <a:t>SUM</a:t>
          </a:r>
          <a:r>
            <a:rPr lang="en-US" sz="1100" b="0" baseline="0">
              <a:solidFill>
                <a:sysClr val="windowText" lastClr="000000"/>
              </a:solidFill>
            </a:rPr>
            <a:t> the </a:t>
          </a:r>
          <a:r>
            <a:rPr lang="en-US" sz="1100" b="1" baseline="0">
              <a:solidFill>
                <a:sysClr val="windowText" lastClr="000000"/>
              </a:solidFill>
            </a:rPr>
            <a:t>UNITS IN STOCK </a:t>
          </a:r>
          <a:r>
            <a:rPr lang="en-US" sz="1100" b="0" baseline="0">
              <a:solidFill>
                <a:sysClr val="windowText" lastClr="000000"/>
              </a:solidFill>
            </a:rPr>
            <a:t>and </a:t>
          </a:r>
          <a:r>
            <a:rPr lang="en-US" sz="1100" b="1" baseline="0">
              <a:solidFill>
                <a:sysClr val="windowText" lastClr="000000"/>
              </a:solidFill>
            </a:rPr>
            <a:t>AVERAGE</a:t>
          </a:r>
          <a:r>
            <a:rPr lang="en-US" sz="1100" b="0" baseline="0">
              <a:solidFill>
                <a:sysClr val="windowText" lastClr="000000"/>
              </a:solidFill>
            </a:rPr>
            <a:t> the </a:t>
          </a:r>
          <a:r>
            <a:rPr lang="en-US" sz="1100" b="1" baseline="0">
              <a:solidFill>
                <a:sysClr val="windowText" lastClr="000000"/>
              </a:solidFill>
            </a:rPr>
            <a:t>UNITS ON ORDER </a:t>
          </a:r>
          <a:r>
            <a:rPr lang="en-US" sz="1100" b="0" baseline="0">
              <a:solidFill>
                <a:sysClr val="windowText" lastClr="000000"/>
              </a:solidFill>
            </a:rPr>
            <a:t>column</a:t>
          </a:r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15240</xdr:rowOff>
    </xdr:from>
    <xdr:to>
      <xdr:col>3</xdr:col>
      <xdr:colOff>861060</xdr:colOff>
      <xdr:row>5</xdr:row>
      <xdr:rowOff>38100</xdr:rowOff>
    </xdr:to>
    <xdr:sp>
      <xdr:nvSpPr>
        <xdr:cNvPr id="2" name="Rectangle: Rounded Corners 1"/>
        <xdr:cNvSpPr/>
      </xdr:nvSpPr>
      <xdr:spPr>
        <a:xfrm>
          <a:off x="830580" y="495300"/>
          <a:ext cx="5257800" cy="5715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Single Level Sort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Sort the table by </a:t>
          </a:r>
          <a:r>
            <a:rPr lang="en-US" sz="1100" b="1">
              <a:solidFill>
                <a:sysClr val="windowText" lastClr="000000"/>
              </a:solidFill>
            </a:rPr>
            <a:t>CATEGORY</a:t>
          </a:r>
          <a:r>
            <a:rPr lang="en-US" sz="1100">
              <a:solidFill>
                <a:sysClr val="windowText" lastClr="000000"/>
              </a:solidFill>
            </a:rPr>
            <a:t> in </a:t>
          </a:r>
          <a:r>
            <a:rPr lang="en-US" sz="1100" b="1">
              <a:solidFill>
                <a:sysClr val="windowText" lastClr="000000"/>
              </a:solidFill>
            </a:rPr>
            <a:t>ASCENDING (ASC)</a:t>
          </a:r>
          <a:r>
            <a:rPr lang="en-US" sz="1100" baseline="0">
              <a:solidFill>
                <a:sysClr val="windowText" lastClr="000000"/>
              </a:solidFill>
            </a:rPr>
            <a:t> order.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15240</xdr:rowOff>
    </xdr:from>
    <xdr:to>
      <xdr:col>3</xdr:col>
      <xdr:colOff>861060</xdr:colOff>
      <xdr:row>5</xdr:row>
      <xdr:rowOff>30480</xdr:rowOff>
    </xdr:to>
    <xdr:sp>
      <xdr:nvSpPr>
        <xdr:cNvPr id="2" name="Rectangle: Rounded Corners 1"/>
        <xdr:cNvSpPr/>
      </xdr:nvSpPr>
      <xdr:spPr>
        <a:xfrm>
          <a:off x="830580" y="495300"/>
          <a:ext cx="5257800" cy="5638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-- Multi-Level Sort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Sort the table by </a:t>
          </a:r>
          <a:r>
            <a:rPr lang="en-US" sz="1100" b="1" baseline="0">
              <a:solidFill>
                <a:sysClr val="windowText" lastClr="000000"/>
              </a:solidFill>
            </a:rPr>
            <a:t>DISCONTINUED</a:t>
          </a:r>
          <a:r>
            <a:rPr lang="en-US" sz="1100" baseline="0">
              <a:solidFill>
                <a:sysClr val="windowText" lastClr="000000"/>
              </a:solidFill>
            </a:rPr>
            <a:t>, then </a:t>
          </a:r>
          <a:r>
            <a:rPr lang="en-US" sz="1100" b="1" baseline="0">
              <a:solidFill>
                <a:sysClr val="windowText" lastClr="000000"/>
              </a:solidFill>
            </a:rPr>
            <a:t>CATEGORY (ASC) </a:t>
          </a:r>
          <a:r>
            <a:rPr lang="en-US" sz="1100" baseline="0">
              <a:solidFill>
                <a:sysClr val="windowText" lastClr="000000"/>
              </a:solidFill>
            </a:rPr>
            <a:t> and then by </a:t>
          </a:r>
          <a:r>
            <a:rPr lang="en-US" sz="1100" b="1" baseline="0">
              <a:solidFill>
                <a:sysClr val="windowText" lastClr="000000"/>
              </a:solidFill>
            </a:rPr>
            <a:t>SUPPLIER (ASC)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579120</xdr:colOff>
      <xdr:row>2</xdr:row>
      <xdr:rowOff>60960</xdr:rowOff>
    </xdr:from>
    <xdr:to>
      <xdr:col>5</xdr:col>
      <xdr:colOff>228600</xdr:colOff>
      <xdr:row>9</xdr:row>
      <xdr:rowOff>85725</xdr:rowOff>
    </xdr:to>
    <xdr:sp>
      <xdr:nvSpPr>
        <xdr:cNvPr id="2" name="Rectangle: Rounded Corners 1"/>
        <xdr:cNvSpPr/>
      </xdr:nvSpPr>
      <xdr:spPr>
        <a:xfrm>
          <a:off x="579120" y="541020"/>
          <a:ext cx="5204460" cy="1304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Custom List Sort </a:t>
          </a:r>
          <a:r>
            <a:rPr lang="en-US" sz="1100" b="0" baseline="0">
              <a:solidFill>
                <a:sysClr val="windowText" lastClr="000000"/>
              </a:solidFill>
            </a:rPr>
            <a:t>command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create a custom list to sort by...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Lets sort this list by Ship Via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Create the Custom List in this order </a:t>
          </a:r>
          <a:r>
            <a:rPr lang="en-US" sz="1100" b="1" baseline="0">
              <a:solidFill>
                <a:sysClr val="windowText" lastClr="000000"/>
              </a:solidFill>
            </a:rPr>
            <a:t>United Package, Federal Shipping, Speedy Express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Make sure everything is spelled the same way as they are in the list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Sort the list based on your custom list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100965</xdr:rowOff>
    </xdr:from>
    <xdr:to>
      <xdr:col>3</xdr:col>
      <xdr:colOff>0</xdr:colOff>
      <xdr:row>7</xdr:row>
      <xdr:rowOff>62865</xdr:rowOff>
    </xdr:to>
    <xdr:sp>
      <xdr:nvSpPr>
        <xdr:cNvPr id="2" name="Rectangle: Rounded Corners 1"/>
        <xdr:cNvSpPr/>
      </xdr:nvSpPr>
      <xdr:spPr>
        <a:xfrm>
          <a:off x="830580" y="398145"/>
          <a:ext cx="4396740" cy="10591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</a:t>
          </a:r>
          <a:r>
            <a:rPr lang="en-US" sz="1100" baseline="0">
              <a:solidFill>
                <a:sysClr val="windowText" lastClr="000000"/>
              </a:solidFill>
            </a:rPr>
            <a:t> the Table Header Filters (Drop Downs) to filter the list.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Filter the Table for all records where...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CATEGORY = DAIRY PRODUCTS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DISCONTINUED = FALSE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UNITS IN STOCK &gt; 0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533400</xdr:colOff>
      <xdr:row>2</xdr:row>
      <xdr:rowOff>15240</xdr:rowOff>
    </xdr:from>
    <xdr:to>
      <xdr:col>2</xdr:col>
      <xdr:colOff>2072640</xdr:colOff>
      <xdr:row>6</xdr:row>
      <xdr:rowOff>0</xdr:rowOff>
    </xdr:to>
    <xdr:sp>
      <xdr:nvSpPr>
        <xdr:cNvPr id="2" name="Rectangle: Rounded Corners 1"/>
        <xdr:cNvSpPr/>
      </xdr:nvSpPr>
      <xdr:spPr>
        <a:xfrm>
          <a:off x="533400" y="495300"/>
          <a:ext cx="4396740" cy="7162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Create a SUBTOTAL based on the List below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GROUP by CATEGORY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SUM</a:t>
          </a:r>
          <a:r>
            <a:rPr lang="en-US" sz="1100" baseline="0">
              <a:solidFill>
                <a:sysClr val="windowText" lastClr="000000"/>
              </a:solidFill>
            </a:rPr>
            <a:t> the UNITS IN STOCK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525780</xdr:colOff>
      <xdr:row>6</xdr:row>
      <xdr:rowOff>160020</xdr:rowOff>
    </xdr:from>
    <xdr:to>
      <xdr:col>8</xdr:col>
      <xdr:colOff>632460</xdr:colOff>
      <xdr:row>8</xdr:row>
      <xdr:rowOff>76200</xdr:rowOff>
    </xdr:to>
    <xdr:sp>
      <xdr:nvSpPr>
        <xdr:cNvPr id="3" name="Rectangle: Rounded Corners 2"/>
        <xdr:cNvSpPr/>
      </xdr:nvSpPr>
      <xdr:spPr>
        <a:xfrm>
          <a:off x="525780" y="1371600"/>
          <a:ext cx="10355580" cy="2819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TIP - The Table must be converted to a RANGE before the SUBTOTAL command will work. (Click into the table -- go to the TABLE DESIGN TAB and use CONVERT TO RANGE)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93344</xdr:colOff>
      <xdr:row>1</xdr:row>
      <xdr:rowOff>123826</xdr:rowOff>
    </xdr:from>
    <xdr:to>
      <xdr:col>6</xdr:col>
      <xdr:colOff>495299</xdr:colOff>
      <xdr:row>3</xdr:row>
      <xdr:rowOff>104775</xdr:rowOff>
    </xdr:to>
    <xdr:sp>
      <xdr:nvSpPr>
        <xdr:cNvPr id="2" name="Rectangle: Rounded Corners 1"/>
        <xdr:cNvSpPr/>
      </xdr:nvSpPr>
      <xdr:spPr>
        <a:xfrm>
          <a:off x="1014730" y="421005"/>
          <a:ext cx="6337935" cy="34671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In</a:t>
          </a:r>
          <a:r>
            <a:rPr lang="en-US" sz="1100" baseline="0">
              <a:solidFill>
                <a:sysClr val="windowText" lastClr="000000"/>
              </a:solidFill>
            </a:rPr>
            <a:t> this one use the </a:t>
          </a:r>
          <a:r>
            <a:rPr lang="en-US" sz="1100">
              <a:solidFill>
                <a:sysClr val="windowText" lastClr="000000"/>
              </a:solidFill>
            </a:rPr>
            <a:t>Find and Remove Duplicates to remove Duplicates from the list below.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85726</xdr:colOff>
      <xdr:row>4</xdr:row>
      <xdr:rowOff>19050</xdr:rowOff>
    </xdr:from>
    <xdr:to>
      <xdr:col>5</xdr:col>
      <xdr:colOff>228601</xdr:colOff>
      <xdr:row>7</xdr:row>
      <xdr:rowOff>142875</xdr:rowOff>
    </xdr:to>
    <xdr:sp>
      <xdr:nvSpPr>
        <xdr:cNvPr id="3" name="Rectangle: Rounded Corners 2"/>
        <xdr:cNvSpPr/>
      </xdr:nvSpPr>
      <xdr:spPr>
        <a:xfrm>
          <a:off x="1007745" y="864870"/>
          <a:ext cx="5263515" cy="67246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Conditional Formating on the Employee ID to highlight Duplicates</a:t>
          </a:r>
          <a:endParaRPr lang="en-US" sz="1100" b="0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--Why are there still Duplicates?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encini</a:t>
          </a:r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Andrew</a:t>
          </a:r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Vice Pr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53340</xdr:colOff>
      <xdr:row>3</xdr:row>
      <xdr:rowOff>15240</xdr:rowOff>
    </xdr:from>
    <xdr:to>
      <xdr:col>2</xdr:col>
      <xdr:colOff>1958340</xdr:colOff>
      <xdr:row>6</xdr:row>
      <xdr:rowOff>158115</xdr:rowOff>
    </xdr:to>
    <xdr:sp>
      <xdr:nvSpPr>
        <xdr:cNvPr id="2" name="Rectangle: Rounded Corners 1"/>
        <xdr:cNvSpPr/>
      </xdr:nvSpPr>
      <xdr:spPr>
        <a:xfrm>
          <a:off x="53340" y="678180"/>
          <a:ext cx="5013960" cy="73723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Subtotal Function </a:t>
          </a:r>
          <a:r>
            <a:rPr lang="en-US" sz="1100" baseline="0">
              <a:solidFill>
                <a:sysClr val="windowText" lastClr="000000"/>
              </a:solidFill>
            </a:rPr>
            <a:t>(=Subtotal) to find the </a:t>
          </a:r>
          <a:r>
            <a:rPr lang="en-US" sz="1100" b="1" baseline="0">
              <a:solidFill>
                <a:sysClr val="windowText" lastClr="000000"/>
              </a:solidFill>
            </a:rPr>
            <a:t>SUM</a:t>
          </a:r>
          <a:r>
            <a:rPr lang="en-US" sz="1100" baseline="0">
              <a:solidFill>
                <a:sysClr val="windowText" lastClr="000000"/>
              </a:solidFill>
            </a:rPr>
            <a:t> of the total </a:t>
          </a:r>
          <a:r>
            <a:rPr lang="en-US" sz="1100" b="1" baseline="0">
              <a:solidFill>
                <a:sysClr val="windowText" lastClr="000000"/>
              </a:solidFill>
            </a:rPr>
            <a:t>Unit Price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--Modify the formula to then find the </a:t>
          </a:r>
          <a:r>
            <a:rPr lang="en-US" sz="1100" b="1" baseline="0">
              <a:solidFill>
                <a:sysClr val="windowText" lastClr="000000"/>
              </a:solidFill>
            </a:rPr>
            <a:t>Average</a:t>
          </a:r>
          <a:r>
            <a:rPr lang="en-US" sz="1100" b="0" baseline="0">
              <a:solidFill>
                <a:sysClr val="windowText" lastClr="000000"/>
              </a:solidFill>
            </a:rPr>
            <a:t> of the Unit Price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--There are many things you can use the Subtotal Function for in this list</a:t>
          </a:r>
          <a:endParaRPr lang="en-US" sz="11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739140</xdr:colOff>
      <xdr:row>6</xdr:row>
      <xdr:rowOff>135255</xdr:rowOff>
    </xdr:to>
    <xdr:sp>
      <xdr:nvSpPr>
        <xdr:cNvPr id="3" name="Rectangle: Rounded Corners 2"/>
        <xdr:cNvSpPr/>
      </xdr:nvSpPr>
      <xdr:spPr>
        <a:xfrm>
          <a:off x="5303520" y="662940"/>
          <a:ext cx="3162300" cy="72961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Filter</a:t>
          </a:r>
          <a:r>
            <a:rPr lang="en-US" sz="1100" b="0" baseline="0">
              <a:solidFill>
                <a:sysClr val="windowText" lastClr="000000"/>
              </a:solidFill>
            </a:rPr>
            <a:t> list by Category per Subtotal of Bererages or which ever Category you choose</a:t>
          </a:r>
          <a:endParaRPr lang="en-US" sz="1100" b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594360</xdr:colOff>
      <xdr:row>15</xdr:row>
      <xdr:rowOff>22860</xdr:rowOff>
    </xdr:from>
    <xdr:to>
      <xdr:col>14</xdr:col>
      <xdr:colOff>358140</xdr:colOff>
      <xdr:row>21</xdr:row>
      <xdr:rowOff>7620</xdr:rowOff>
    </xdr:to>
    <xdr:sp>
      <xdr:nvSpPr>
        <xdr:cNvPr id="3" name="Rectangle: Rounded Corners 2"/>
        <xdr:cNvSpPr/>
      </xdr:nvSpPr>
      <xdr:spPr>
        <a:xfrm>
          <a:off x="6842760" y="2964180"/>
          <a:ext cx="4480560" cy="10820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Modfy</a:t>
          </a:r>
          <a:r>
            <a:rPr lang="en-US" sz="1100" b="0" baseline="0">
              <a:solidFill>
                <a:sysClr val="windowText" lastClr="000000"/>
              </a:solidFill>
            </a:rPr>
            <a:t> the formula to SUM the FEE column where the records have...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TYPE = CREDIT CARD       </a:t>
          </a:r>
          <a:r>
            <a:rPr lang="en-US" sz="1100" b="1" baseline="0">
              <a:solidFill>
                <a:sysClr val="windowText" lastClr="000000"/>
              </a:solidFill>
            </a:rPr>
            <a:t>AND</a:t>
          </a:r>
          <a:r>
            <a:rPr lang="en-US" sz="1100" b="0" baseline="0">
              <a:solidFill>
                <a:sysClr val="windowText" lastClr="000000"/>
              </a:solidFill>
            </a:rPr>
            <a:t>      STATUS = CLOSED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OR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TYPE = CHECK                   </a:t>
          </a:r>
          <a:r>
            <a:rPr lang="en-US" sz="1100" b="1" baseline="0">
              <a:solidFill>
                <a:sysClr val="windowText" lastClr="000000"/>
              </a:solidFill>
            </a:rPr>
            <a:t>AND</a:t>
          </a:r>
          <a:r>
            <a:rPr lang="en-US" sz="1100" b="0" baseline="0">
              <a:solidFill>
                <a:sysClr val="windowText" lastClr="000000"/>
              </a:solidFill>
            </a:rPr>
            <a:t>      STATUS = CLOSED</a:t>
          </a:r>
          <a:endParaRPr lang="en-US" sz="1100" b="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586740</xdr:colOff>
      <xdr:row>17</xdr:row>
      <xdr:rowOff>167640</xdr:rowOff>
    </xdr:from>
    <xdr:to>
      <xdr:col>13</xdr:col>
      <xdr:colOff>541020</xdr:colOff>
      <xdr:row>21</xdr:row>
      <xdr:rowOff>106680</xdr:rowOff>
    </xdr:to>
    <xdr:sp>
      <xdr:nvSpPr>
        <xdr:cNvPr id="3" name="Rectangle: Rounded Corners 2"/>
        <xdr:cNvSpPr/>
      </xdr:nvSpPr>
      <xdr:spPr>
        <a:xfrm>
          <a:off x="6835140" y="3558540"/>
          <a:ext cx="4503420" cy="67056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Modify the </a:t>
          </a:r>
          <a:r>
            <a:rPr lang="en-US" sz="1100" b="1">
              <a:solidFill>
                <a:sysClr val="windowText" lastClr="000000"/>
              </a:solidFill>
            </a:rPr>
            <a:t>AVERAGE</a:t>
          </a:r>
          <a:r>
            <a:rPr lang="en-US" sz="1100" b="1" baseline="0">
              <a:solidFill>
                <a:sysClr val="windowText" lastClr="000000"/>
              </a:solidFill>
            </a:rPr>
            <a:t> FEE formula</a:t>
          </a:r>
          <a:r>
            <a:rPr lang="en-US" sz="1100" b="0" baseline="0">
              <a:solidFill>
                <a:sysClr val="windowText" lastClr="000000"/>
              </a:solidFill>
            </a:rPr>
            <a:t> to include records where the </a:t>
          </a:r>
          <a:r>
            <a:rPr lang="en-US" sz="1100" b="1" baseline="0">
              <a:solidFill>
                <a:sysClr val="windowText" lastClr="000000"/>
              </a:solidFill>
            </a:rPr>
            <a:t>STATUS </a:t>
          </a:r>
          <a:r>
            <a:rPr lang="en-US" sz="1100" b="0" baseline="0">
              <a:solidFill>
                <a:sysClr val="windowText" lastClr="000000"/>
              </a:solidFill>
            </a:rPr>
            <a:t>is </a:t>
          </a:r>
          <a:r>
            <a:rPr lang="en-US" sz="1100" b="1" baseline="0">
              <a:solidFill>
                <a:sysClr val="windowText" lastClr="000000"/>
              </a:solidFill>
            </a:rPr>
            <a:t>CLOSED</a:t>
          </a:r>
          <a:endParaRPr lang="en-US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274320</xdr:colOff>
      <xdr:row>2</xdr:row>
      <xdr:rowOff>175260</xdr:rowOff>
    </xdr:from>
    <xdr:to>
      <xdr:col>11</xdr:col>
      <xdr:colOff>579120</xdr:colOff>
      <xdr:row>17</xdr:row>
      <xdr:rowOff>152400</xdr:rowOff>
    </xdr:to>
    <xdr:graphicFrame>
      <xdr:nvGraphicFramePr>
        <xdr:cNvPr id="2" name="Chart 1"/>
        <xdr:cNvGraphicFramePr/>
      </xdr:nvGraphicFramePr>
      <xdr:xfrm>
        <a:off x="3566160" y="550545"/>
        <a:ext cx="4625340" cy="2748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" name="Shipped 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13</xdr:col>
      <xdr:colOff>38100</xdr:colOff>
      <xdr:row>1</xdr:row>
      <xdr:rowOff>175260</xdr:rowOff>
    </xdr:from>
    <xdr:to>
      <xdr:col>19</xdr:col>
      <xdr:colOff>53340</xdr:colOff>
      <xdr:row>9</xdr:row>
      <xdr:rowOff>68580</xdr:rowOff>
    </xdr:to>
    <xdr:sp>
      <xdr:nvSpPr>
        <xdr:cNvPr id="3" name="Rectangle 2"/>
        <xdr:cNvSpPr>
          <a:spLocks noTextEdit="1"/>
        </xdr:cNvSpPr>
      </xdr:nvSpPr>
      <xdr:spPr>
        <a:xfrm>
          <a:off x="8884920" y="358140"/>
          <a:ext cx="3375660" cy="137541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  <a:endParaRPr lang="en-US" sz="1100"/>
        </a:p>
      </xdr:txBody>
    </xdr:sp>
    <xdr:clientData/>
  </xdr:twoCellAnchor>
  <xdr:twoCellAnchor editAs="oneCell">
    <xdr:from>
      <xdr:col>13</xdr:col>
      <xdr:colOff>108116</xdr:colOff>
      <xdr:row>9</xdr:row>
      <xdr:rowOff>93649</xdr:rowOff>
    </xdr:from>
    <xdr:to>
      <xdr:col>18</xdr:col>
      <xdr:colOff>298174</xdr:colOff>
      <xdr:row>22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hip V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V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4770" y="1758315"/>
              <a:ext cx="2933065" cy="2423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1214783</xdr:colOff>
      <xdr:row>1</xdr:row>
      <xdr:rowOff>135835</xdr:rowOff>
    </xdr:from>
    <xdr:to>
      <xdr:col>13</xdr:col>
      <xdr:colOff>55218</xdr:colOff>
      <xdr:row>25</xdr:row>
      <xdr:rowOff>44174</xdr:rowOff>
    </xdr:to>
    <xdr:graphicFrame>
      <xdr:nvGraphicFramePr>
        <xdr:cNvPr id="7" name="Chart 6"/>
        <xdr:cNvGraphicFramePr/>
      </xdr:nvGraphicFramePr>
      <xdr:xfrm>
        <a:off x="3264535" y="318135"/>
        <a:ext cx="5636895" cy="4345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440.587205787" refreshedBy="Kyle Pew" recordCount="830">
  <cacheSource type="worksheet">
    <worksheetSource ref="A9:H839" sheet="ORDER DATA (PIVOTTABLE)"/>
  </cacheSource>
  <cacheFields count="8">
    <cacheField name="Order ID" numFmtId="0"/>
    <cacheField name="Customer" numFmtId="0"/>
    <cacheField name="Employee" numFmtId="0"/>
    <cacheField name="Order Date" numFmtId="58">
      <sharedItems containsSemiMixedTypes="0" containsString="0" containsNonDate="0" containsDate="1" minDate="1996-07-04T00:00:00" maxDate="1998-05-06T00:00:00" count="480"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</sharedItems>
    </cacheField>
    <cacheField name="Shipped Date" numFmtId="58">
      <sharedItems containsString="0" containsBlank="1" containsNonDate="0" containsDate="1" minDate="1996-07-10T00:00:00" maxDate="1998-05-06T00:00:00" count="388">
        <d v="1996-07-16T00:00:00"/>
        <d v="1996-07-10T00:00:00"/>
        <d v="1996-07-12T00:00:00"/>
        <d v="1996-07-15T00:00:00"/>
        <d v="1996-07-11T00:00:00"/>
        <d v="1996-07-23T00:00:00"/>
        <d v="1996-07-17T00:00:00"/>
        <d v="1996-07-22T00:00:00"/>
        <d v="1996-07-25T00:00:00"/>
        <d v="1996-07-29T00:00:00"/>
        <d v="1996-07-30T00:00:00"/>
        <d v="1996-07-31T00:00:00"/>
        <d v="1996-08-23T00:00:00"/>
        <d v="1996-08-12T00:00:00"/>
        <d v="1996-08-06T00:00:00"/>
        <d v="1996-08-02T00:00:00"/>
        <d v="1996-08-09T00:00:00"/>
        <d v="1996-08-30T00:00:00"/>
        <d v="1996-08-16T00:00:00"/>
        <d v="1996-08-14T00:00:00"/>
        <d v="1996-08-13T00:00:00"/>
        <d v="1996-09-12T00:00:00"/>
        <d v="1996-08-21T00:00:00"/>
        <d v="1996-08-27T00:00:00"/>
        <d v="1996-08-26T00:00:00"/>
        <d v="1996-08-28T00:00:00"/>
        <d v="1996-09-03T00:00:00"/>
        <d v="1996-09-04T00:00:00"/>
        <d v="1996-09-02T00:00:00"/>
        <d v="1996-09-11T00:00:00"/>
        <d v="1996-09-05T00:00:00"/>
        <d v="1996-09-10T00:00:00"/>
        <d v="1996-09-13T00:00:00"/>
        <d v="1996-09-18T00:00:00"/>
        <d v="1996-09-17T00:00:00"/>
        <d v="1996-10-09T00:00:00"/>
        <d v="1996-09-23T00:00:00"/>
        <d v="1996-09-25T00:00:00"/>
        <d v="1996-09-24T00:00:00"/>
        <d v="1996-10-23T00:00:00"/>
        <d v="1996-09-27T00:00:00"/>
        <d v="1996-09-26T00:00:00"/>
        <d v="1996-10-03T00:00:00"/>
        <d v="1996-10-04T00:00:00"/>
        <d v="1996-10-08T00:00:00"/>
        <d v="1996-10-10T00:00:00"/>
        <d v="1996-10-11T00:00:00"/>
        <d v="1996-10-18T00:00:00"/>
        <d v="1996-10-14T00:00:00"/>
        <d v="1996-10-17T00:00:00"/>
        <d v="1996-10-28T00:00:00"/>
        <d v="1996-10-21T00:00:00"/>
        <d v="1996-10-25T00:00:00"/>
        <d v="1996-10-24T00:00:00"/>
        <d v="1996-10-29T00:00:00"/>
        <d v="1996-11-04T00:00:00"/>
        <d v="1996-11-08T00:00:00"/>
        <d v="1996-11-05T00:00:00"/>
        <d v="1996-11-06T00:00:00"/>
        <d v="1996-11-11T00:00:00"/>
        <d v="1996-11-15T00:00:00"/>
        <d v="1996-12-03T00:00:00"/>
        <d v="1996-11-20T00:00:00"/>
        <d v="1996-11-18T00:00:00"/>
        <d v="1996-11-25T00:00:00"/>
        <d v="1996-11-27T00:00:00"/>
        <d v="1996-12-02T00:00:00"/>
        <d v="1996-11-26T00:00:00"/>
        <d v="1996-11-28T00:00:00"/>
        <d v="1996-12-04T00:00:00"/>
        <d v="1996-12-30T00:00:00"/>
        <d v="1996-12-09T00:00:00"/>
        <d v="1996-12-27T00:00:00"/>
        <d v="1996-12-24T00:00:00"/>
        <d v="1996-12-11T00:00:00"/>
        <d v="1996-12-13T00:00:00"/>
        <d v="1996-12-19T00:00:00"/>
        <d v="1997-01-16T00:00:00"/>
        <d v="1996-12-16T00:00:00"/>
        <d v="1996-12-18T00:00:00"/>
        <d v="1996-12-20T00:00:00"/>
        <d v="1996-12-23T00:00:00"/>
        <d v="1996-12-25T00:00:00"/>
        <d v="1996-12-26T00:00:00"/>
        <d v="1996-12-31T00:00:00"/>
        <d v="1997-01-01T00:00:00"/>
        <d v="1997-01-03T00:00:00"/>
        <d v="1997-01-06T00:00:00"/>
        <d v="1997-01-02T00:00:00"/>
        <d v="1997-01-09T00:00:00"/>
        <d v="1997-01-08T00:00:00"/>
        <d v="1997-01-10T00:00:00"/>
        <d v="1997-01-22T00:00:00"/>
        <d v="1997-01-13T00:00:00"/>
        <d v="1997-01-30T00:00:00"/>
        <d v="1997-01-14T00:00:00"/>
        <d v="1997-01-15T00:00:00"/>
        <d v="1997-01-21T00:00:00"/>
        <d v="1997-01-17T00:00:00"/>
        <d v="1997-01-24T00:00:00"/>
        <d v="1997-01-27T00:00:00"/>
        <d v="1997-01-28T00:00:00"/>
        <d v="1997-01-31T00:00:00"/>
        <d v="1997-02-24T00:00:00"/>
        <d v="1997-02-14T00:00:00"/>
        <d v="1997-02-06T00:00:00"/>
        <d v="1997-03-03T00:00:00"/>
        <d v="1997-02-04T00:00:00"/>
        <d v="1997-02-07T00:00:00"/>
        <d v="1997-02-03T00:00:00"/>
        <d v="1997-03-04T00:00:00"/>
        <d v="1997-02-13T00:00:00"/>
        <d v="1997-02-11T00:00:00"/>
        <d v="1997-02-12T00:00:00"/>
        <d v="1997-02-10T00:00:00"/>
        <d v="1997-02-28T00:00:00"/>
        <d v="1997-03-14T00:00:00"/>
        <d v="1997-02-18T00:00:00"/>
        <d v="1997-02-21T00:00:00"/>
        <d v="1997-02-20T00:00:00"/>
        <d v="1997-02-19T00:00:00"/>
        <d v="1997-03-07T00:00:00"/>
        <d v="1997-02-27T00:00:00"/>
        <d v="1997-03-11T00:00:00"/>
        <d v="1997-03-12T00:00:00"/>
        <d v="1997-02-26T00:00:00"/>
        <d v="1997-02-25T00:00:00"/>
        <d v="1997-03-05T00:00:00"/>
        <d v="1997-03-18T00:00:00"/>
        <d v="1997-03-06T00:00:00"/>
        <d v="1997-03-13T00:00:00"/>
        <d v="1997-03-19T00:00:00"/>
        <d v="1997-03-21T00:00:00"/>
        <d v="1997-04-04T00:00:00"/>
        <d v="1997-03-24T00:00:00"/>
        <d v="1997-03-25T00:00:00"/>
        <d v="1997-03-26T00:00:00"/>
        <d v="1997-04-10T00:00:00"/>
        <d v="1997-04-25T00:00:00"/>
        <d v="1997-04-01T00:00:00"/>
        <d v="1997-03-31T00:00:00"/>
        <d v="1997-04-02T00:00:00"/>
        <d v="1997-03-28T00:00:00"/>
        <d v="1997-04-09T00:00:00"/>
        <d v="1997-04-03T00:00:00"/>
        <d v="1997-04-08T00:00:00"/>
        <d v="1997-04-11T00:00:00"/>
        <d v="1997-04-07T00:00:00"/>
        <d v="1997-04-16T00:00:00"/>
        <d v="1997-04-17T00:00:00"/>
        <d v="1997-04-29T00:00:00"/>
        <d v="1997-04-18T00:00:00"/>
        <d v="1997-04-21T00:00:00"/>
        <d v="1997-05-02T00:00:00"/>
        <d v="1997-04-22T00:00:00"/>
        <d v="1997-05-13T00:00:00"/>
        <d v="1997-04-28T00:00:00"/>
        <d v="1997-04-24T00:00:00"/>
        <d v="1997-05-16T00:00:00"/>
        <d v="1997-05-23T00:00:00"/>
        <d v="1997-05-01T00:00:00"/>
        <d v="1997-05-05T00:00:00"/>
        <d v="1997-05-06T00:00:00"/>
        <d v="1997-05-30T00:00:00"/>
        <d v="1997-05-07T00:00:00"/>
        <d v="1997-05-15T00:00:00"/>
        <d v="1997-05-09T00:00:00"/>
        <d v="1997-05-12T00:00:00"/>
        <d v="1997-05-19T00:00:00"/>
        <d v="1997-05-22T00:00:00"/>
        <d v="1997-05-14T00:00:00"/>
        <d v="1997-05-21T00:00:00"/>
        <d v="1997-06-06T00:00:00"/>
        <d v="1997-06-13T00:00:00"/>
        <d v="1997-05-29T00:00:00"/>
        <d v="1997-05-26T00:00:00"/>
        <d v="1997-06-26T00:00:00"/>
        <d v="1997-05-27T00:00:00"/>
        <d v="1997-06-02T00:00:00"/>
        <d v="1997-06-05T00:00:00"/>
        <d v="1997-06-03T00:00:00"/>
        <d v="1997-06-04T00:00:00"/>
        <d v="1997-06-10T00:00:00"/>
        <d v="1997-06-09T00:00:00"/>
        <d v="1997-06-12T00:00:00"/>
        <d v="1997-06-24T00:00:00"/>
        <d v="1997-06-16T00:00:00"/>
        <d v="1997-06-18T00:00:00"/>
        <d v="1997-06-17T00:00:00"/>
        <d v="1997-07-09T00:00:00"/>
        <d v="1997-07-11T00:00:00"/>
        <d v="1997-06-19T00:00:00"/>
        <d v="1997-07-04T00:00:00"/>
        <d v="1997-06-25T00:00:00"/>
        <d v="1997-06-20T00:00:00"/>
        <d v="1997-06-30T00:00:00"/>
        <d v="1997-07-25T00:00:00"/>
        <d v="1997-07-01T00:00:00"/>
        <d v="1997-07-02T00:00:00"/>
        <d v="1997-07-14T00:00:00"/>
        <d v="1997-07-10T00:00:00"/>
        <d v="1997-07-16T00:00:00"/>
        <d v="1997-08-13T00:00:00"/>
        <d v="1997-08-12T00:00:00"/>
        <d v="1997-07-18T00:00:00"/>
        <d v="1997-07-21T00:00:00"/>
        <d v="1997-07-22T00:00:00"/>
        <d v="1997-08-08T00:00:00"/>
        <d v="1997-07-29T00:00:00"/>
        <d v="1997-07-31T00:00:00"/>
        <d v="1997-08-01T00:00:00"/>
        <d v="1997-07-30T00:00:00"/>
        <d v="1997-08-06T00:00:00"/>
        <d v="1997-08-05T00:00:00"/>
        <d v="1997-08-04T00:00:00"/>
        <d v="1997-08-07T00:00:00"/>
        <d v="1997-08-14T00:00:00"/>
        <d v="1997-08-11T00:00:00"/>
        <d v="1997-08-19T00:00:00"/>
        <d v="1997-08-20T00:00:00"/>
        <d v="1997-08-21T00:00:00"/>
        <d v="1997-08-15T00:00:00"/>
        <d v="1997-08-18T00:00:00"/>
        <d v="1997-08-26T00:00:00"/>
        <d v="1997-09-01T00:00:00"/>
        <d v="1997-08-27T00:00:00"/>
        <d v="1997-08-28T00:00:00"/>
        <d v="1997-09-05T00:00:00"/>
        <d v="1997-09-02T00:00:00"/>
        <d v="1997-09-03T00:00:00"/>
        <d v="1997-09-09T00:00:00"/>
        <d v="1997-08-29T00:00:00"/>
        <d v="1997-09-11T00:00:00"/>
        <d v="1997-09-08T00:00:00"/>
        <d v="1997-09-19T00:00:00"/>
        <d v="1997-09-10T00:00:00"/>
        <d v="1997-09-15T00:00:00"/>
        <d v="1997-10-15T00:00:00"/>
        <d v="1997-09-18T00:00:00"/>
        <d v="1997-10-03T00:00:00"/>
        <d v="1997-09-17T00:00:00"/>
        <d v="1997-09-22T00:00:00"/>
        <d v="1997-09-23T00:00:00"/>
        <d v="1997-09-24T00:00:00"/>
        <d v="1997-09-26T00:00:00"/>
        <d v="1997-09-30T00:00:00"/>
        <d v="1997-09-29T00:00:00"/>
        <d v="1997-10-16T00:00:00"/>
        <d v="1997-10-01T00:00:00"/>
        <d v="1997-10-08T00:00:00"/>
        <d v="1997-10-30T00:00:00"/>
        <d v="1997-10-07T00:00:00"/>
        <d v="1997-10-22T00:00:00"/>
        <d v="1997-10-13T00:00:00"/>
        <d v="1997-10-10T00:00:00"/>
        <d v="1997-10-09T00:00:00"/>
        <d v="1997-10-14T00:00:00"/>
        <d v="1997-10-17T00:00:00"/>
        <d v="1997-10-21T00:00:00"/>
        <d v="1997-10-20T00:00:00"/>
        <d v="1997-11-07T00:00:00"/>
        <d v="1997-11-18T00:00:00"/>
        <d v="1997-10-23T00:00:00"/>
        <d v="1997-11-05T00:00:00"/>
        <d v="1997-11-20T00:00:00"/>
        <d v="1997-10-29T00:00:00"/>
        <d v="1997-10-31T00:00:00"/>
        <d v="1997-10-24T00:00:00"/>
        <d v="1997-10-27T00:00:00"/>
        <d v="1997-11-04T00:00:00"/>
        <d v="1997-11-25T00:00:00"/>
        <d v="1997-12-05T00:00:00"/>
        <d v="1997-11-11T00:00:00"/>
        <d v="1997-11-14T00:00:00"/>
        <d v="1997-11-10T00:00:00"/>
        <d v="1997-11-12T00:00:00"/>
        <d v="1997-11-21T00:00:00"/>
        <d v="1997-11-17T00:00:00"/>
        <d v="1997-11-24T00:00:00"/>
        <d v="1997-11-27T00:00:00"/>
        <d v="1997-11-26T00:00:00"/>
        <d v="1997-11-28T00:00:00"/>
        <d v="1997-12-19T00:00:00"/>
        <d v="1997-12-03T00:00:00"/>
        <d v="1997-12-02T00:00:00"/>
        <d v="1997-12-15T00:00:00"/>
        <d v="1997-12-04T00:00:00"/>
        <d v="1997-12-12T00:00:00"/>
        <d v="1997-12-10T00:00:00"/>
        <d v="1997-12-08T00:00:00"/>
        <d v="1997-12-09T00:00:00"/>
        <d v="1997-12-17T00:00:00"/>
        <d v="1998-01-02T00:00:00"/>
        <d v="1997-12-16T00:00:00"/>
        <d v="1997-12-26T00:00:00"/>
        <d v="1997-12-18T00:00:00"/>
        <d v="1998-01-21T00:00:00"/>
        <d v="1997-12-24T00:00:00"/>
        <d v="1998-01-14T00:00:00"/>
        <d v="1997-12-25T00:00:00"/>
        <d v="1997-12-22T00:00:00"/>
        <d v="1997-12-23T00:00:00"/>
        <d v="1998-01-19T00:00:00"/>
        <d v="1997-12-31T00:00:00"/>
        <d v="1998-01-01T00:00:00"/>
        <d v="1998-01-08T00:00:00"/>
        <d v="1998-01-20T00:00:00"/>
        <d v="1998-01-05T00:00:00"/>
        <d v="1998-01-06T00:00:00"/>
        <d v="1998-01-07T00:00:00"/>
        <d v="1998-01-09T00:00:00"/>
        <d v="1998-01-30T00:00:00"/>
        <d v="1998-01-12T00:00:00"/>
        <d v="1998-02-04T00:00:00"/>
        <d v="1998-01-13T00:00:00"/>
        <d v="1998-01-16T00:00:00"/>
        <d v="1998-01-15T00:00:00"/>
        <d v="1998-02-06T00:00:00"/>
        <d v="1998-01-23T00:00:00"/>
        <d v="1998-01-22T00:00:00"/>
        <d v="1998-02-16T00:00:00"/>
        <d v="1998-01-29T00:00:00"/>
        <d v="1998-01-26T00:00:00"/>
        <d v="1998-02-10T00:00:00"/>
        <d v="1998-02-02T00:00:00"/>
        <d v="1998-02-03T00:00:00"/>
        <d v="1998-02-05T00:00:00"/>
        <d v="1998-02-17T00:00:00"/>
        <d v="1998-02-09T00:00:00"/>
        <d v="1998-02-12T00:00:00"/>
        <d v="1998-02-11T00:00:00"/>
        <d v="1998-02-23T00:00:00"/>
        <d v="1998-02-13T00:00:00"/>
        <d v="1998-03-03T00:00:00"/>
        <d v="1998-02-19T00:00:00"/>
        <d v="1998-02-18T00:00:00"/>
        <d v="1998-02-20T00:00:00"/>
        <d v="1998-03-02T00:00:00"/>
        <d v="1998-02-27T00:00:00"/>
        <d v="1998-02-25T00:00:00"/>
        <d v="1998-03-06T00:00:00"/>
        <d v="1998-02-26T00:00:00"/>
        <d v="1998-03-04T00:00:00"/>
        <d v="1998-03-10T00:00:00"/>
        <d v="1998-03-05T00:00:00"/>
        <d v="1998-03-18T00:00:00"/>
        <d v="1998-03-09T00:00:00"/>
        <d v="1998-03-11T00:00:00"/>
        <d v="1998-03-13T00:00:00"/>
        <d v="1998-04-08T00:00:00"/>
        <d v="1998-03-12T00:00:00"/>
        <d v="1998-03-19T00:00:00"/>
        <d v="1998-03-24T00:00:00"/>
        <d v="1998-03-16T00:00:00"/>
        <d v="1998-03-23T00:00:00"/>
        <d v="1998-03-20T00:00:00"/>
        <d v="1998-03-17T00:00:00"/>
        <d v="1998-04-07T00:00:00"/>
        <d v="1998-03-25T00:00:00"/>
        <d v="1998-03-27T00:00:00"/>
        <d v="1998-03-30T00:00:00"/>
        <d v="1998-03-26T00:00:00"/>
        <d v="1998-04-02T00:00:00"/>
        <d v="1998-04-01T00:00:00"/>
        <d v="1998-04-24T00:00:00"/>
        <d v="1998-04-03T00:00:00"/>
        <d v="1998-04-10T00:00:00"/>
        <d v="1998-04-23T00:00:00"/>
        <d v="1998-03-31T00:00:00"/>
        <d v="1998-04-17T00:00:00"/>
        <d v="1998-04-06T00:00:00"/>
        <d v="1998-04-21T00:00:00"/>
        <d v="1998-04-09T00:00:00"/>
        <d v="1998-04-13T00:00:00"/>
        <d v="1998-04-14T00:00:00"/>
        <d v="1998-04-16T00:00:00"/>
        <d v="1998-04-20T00:00:00"/>
        <d v="1998-04-15T00:00:00"/>
        <m/>
        <d v="1998-05-04T00:00:00"/>
        <d v="1998-04-28T00:00:00"/>
        <d v="1998-04-22T00:00:00"/>
        <d v="1998-04-27T00:00:00"/>
        <d v="1998-04-30T00:00:00"/>
        <d v="1998-05-01T00:00:00"/>
        <d v="1998-04-29T00:00:00"/>
        <d v="1998-05-05T00:00:00"/>
        <d v="1998-05-06T00:00:00"/>
      </sharedItems>
    </cacheField>
    <cacheField name="Ship Via" numFmtId="0">
      <sharedItems count="3">
        <s v="Federal Shipping"/>
        <s v="Speedy Express"/>
        <s v="United Package"/>
      </sharedItems>
    </cacheField>
    <cacheField name="Freight" numFmtId="44"/>
    <cacheField name="Ship Country" numFmtId="0">
      <sharedItems count="21">
        <s v="France"/>
        <s v="Germany"/>
        <s v="Brazil"/>
        <s v="Belgium"/>
        <s v="Switzerland"/>
        <s v="Venezuela"/>
        <s v="Austria"/>
        <s v="Mexico"/>
        <s v="USA"/>
        <s v="Sweden"/>
        <s v="Finland"/>
        <s v="Italy"/>
        <s v="Spain"/>
        <s v="UK"/>
        <s v="Ireland"/>
        <s v="Portugal"/>
        <s v="Canada"/>
        <s v="Denmark"/>
        <s v="Poland"/>
        <s v="Norway"/>
        <s v="Argentin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734.5658106481" refreshedBy="Petertimi" recordCount="831">
  <cacheSource type="worksheet">
    <worksheetSource ref="A9:H840" sheet="ORDER DATA (PIVOTTABLE)"/>
  </cacheSource>
  <cacheFields count="8">
    <cacheField name="Order ID" numFmtId="0"/>
    <cacheField name="Customer" numFmtId="0">
      <sharedItems containsBlank="1" count="90">
        <s v="Wilman Kala"/>
        <s v="Tradição Hipermercados"/>
        <s v="Hanari Carnes"/>
        <s v="Victuailles en stock"/>
        <s v="Suprêmes délices"/>
        <s v="Chop-suey Chinese"/>
        <s v="Richter Supermarkt"/>
        <s v="Wellington Importadora"/>
        <s v="HILARIÓN-Abastos"/>
        <s v="Ernst Handel"/>
        <s v="Centro comercial Moctezuma"/>
        <s v="Old World Delicatessen"/>
        <s v="Que Delícia"/>
        <s v="Rattlesnake Canyon Grocery"/>
        <s v="Folk och fä HB"/>
        <s v="Blondel père et fils"/>
        <s v="Wartian Herkku"/>
        <s v="Frankenversand"/>
        <s v="GROSELLA-Restaurante"/>
        <s v="White Clover Markets"/>
        <s v="Split Rail Beer &amp; Ale"/>
        <s v="QUICK-Stop"/>
        <s v="Vins et alcools Chevalier"/>
        <s v="Magazzini Alimentari Riuniti"/>
        <s v="Tortuga Restaurante"/>
        <s v="Morgenstern Gesundkost"/>
        <s v="Berglunds snabbköp"/>
        <s v="Lehmanns Marktstand"/>
        <s v="Romero y tomillo"/>
        <s v="LILA-Supermercado"/>
        <s v="Ricardo Adocicados"/>
        <s v="Reggiani Caseifici"/>
        <s v="B's Beverages"/>
        <s v="Comércio Mineiro"/>
        <s v="Hungry Owl All-Night Grocers"/>
        <s v="Die Wandernde Kuh"/>
        <s v="Godos Cocina Típica"/>
        <s v="Lonesome Pine Restaurant"/>
        <s v="Ana Trujillo Emparedados y helados"/>
        <s v="The Big Cheese"/>
        <s v="Du monde entier"/>
        <s v="Island Trading"/>
        <s v="Pericles Comidas clásicas"/>
        <s v="Königlich Essen"/>
        <s v="Save-a-lot Markets"/>
        <s v="Bólido Comidas preparadas"/>
        <s v="Furia Bacalhau e Frutos do Mar"/>
        <s v="Bon app'"/>
        <s v="Mère Paillarde"/>
        <s v="Princesa Isabel Vinhos"/>
        <s v="Simons bistro"/>
        <s v="Familia Arquibaldo"/>
        <s v="La maison d'Asie"/>
        <s v="Piccolo und mehr"/>
        <s v="Around the Horn"/>
        <s v="Seven Seas Imports"/>
        <s v="Drachenblut Delikatessen"/>
        <s v="Eastern Connection"/>
        <s v="Antonio Moreno Taquería"/>
        <s v="Galería del gastrónomo"/>
        <s v="Vaffeljernet"/>
        <s v="Queen Cozinha"/>
        <s v="Wolski  Zajazd"/>
        <s v="Hungry Coyote Import Store"/>
        <s v="Santé Gourmet"/>
        <s v="Bottom-Dollar Markets"/>
        <s v="LINO-Delicateses"/>
        <s v="Ottilies Käseladen"/>
        <s v="Folies gourmandes"/>
        <s v="Océano Atlántico Ltda."/>
        <s v="Franchi S.p.A."/>
        <s v="Gourmet Lanchonetes"/>
        <s v="Consolidated Holdings"/>
        <s v="Toms Spezialitäten"/>
        <s v="Rancho grande"/>
        <s v="Lazy K Kountry Store"/>
        <s v="Laughing Bacchus Wine Cellars"/>
        <s v="Blauer See Delikatessen"/>
        <s v="North/South"/>
        <s v="Cactus Comidas para llevar"/>
        <s v="Great Lakes Food Market"/>
        <s v="Maison Dewey"/>
        <s v="Trail's Head Gourmet Provisioners"/>
        <s v="Let's Stop N Shop"/>
        <s v="The Cracker Box"/>
        <s v="Alfreds Futterkiste"/>
        <s v="France restauration"/>
        <s v="Spécialités du monde"/>
        <s v="La corne d'abondance"/>
        <m/>
      </sharedItems>
    </cacheField>
    <cacheField name="Employee" numFmtId="0"/>
    <cacheField name="Order Date" numFmtId="0">
      <sharedItems containsString="0" containsBlank="1" containsNonDate="0" containsDate="1" minDate="1996-07-04T00:00:00" maxDate="1998-05-06T00:00:00" count="481"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m/>
      </sharedItems>
    </cacheField>
    <cacheField name="Shipped Date" numFmtId="0"/>
    <cacheField name="Ship Via" numFmtId="0">
      <sharedItems containsBlank="1" count="4">
        <s v="Federal Shipping"/>
        <s v="Speedy Express"/>
        <s v="United Package"/>
        <m/>
      </sharedItems>
    </cacheField>
    <cacheField name="Freight" numFmtId="0">
      <sharedItems containsString="0" containsBlank="1" containsNumber="1" minValue="0" maxValue="1108.404" count="800">
        <n v="35.618"/>
        <n v="12.771"/>
        <n v="72.413"/>
        <n v="45.474"/>
        <n v="56.43"/>
        <n v="63.987"/>
        <n v="25.278"/>
        <n v="163.163"/>
        <n v="15.367"/>
        <n v="90.101"/>
        <n v="154.561"/>
        <n v="3.575"/>
        <n v="60.599"/>
        <n v="3.355"/>
        <n v="53.119"/>
        <n v="160.666"/>
        <n v="4.037"/>
        <n v="60.808"/>
        <n v="28.303"/>
        <n v="229.438"/>
        <n v="72.919"/>
        <n v="5.016"/>
        <n v="150.194"/>
        <n v="4.994"/>
        <n v="107.833"/>
        <n v="83.677"/>
        <n v="6.611"/>
        <n v="29.623"/>
        <n v="15.224"/>
        <n v="138.347"/>
        <n v="101.959"/>
        <n v="28.413"/>
        <n v="9.878"/>
        <n v="3.234"/>
        <n v="13.959"/>
        <n v="93.291"/>
        <n v="84.216"/>
        <n v="84.513"/>
        <n v="252.164"/>
        <n v="14.036"/>
        <n v="8.195"/>
        <n v="25.047"/>
        <n v="87.67"/>
        <n v="7.04"/>
        <n v="1.485"/>
        <n v="23.298"/>
        <n v="161.986"/>
        <n v="1.265"/>
        <n v="0.132"/>
        <n v="6.314"/>
        <n v="185.042"/>
        <n v="32.736"/>
        <n v="19.448"/>
        <n v="49.588"/>
        <n v="6.897"/>
        <n v="118.613"/>
        <n v="70.169"/>
        <n v="283.382"/>
        <n v="8.316"/>
        <n v="0.616"/>
        <n v="1.771"/>
        <n v="52.03"/>
        <n v="19.272"/>
        <n v="27.159"/>
        <n v="44.286"/>
        <n v="2.156"/>
        <n v="81.576"/>
        <n v="45.936"/>
        <n v="165.165"/>
        <n v="5.203"/>
        <n v="70.95"/>
        <n v="38.027"/>
        <n v="3.773"/>
        <n v="0.44"/>
        <n v="5.368"/>
        <n v="235.697"/>
        <n v="71.346"/>
        <n v="85.712"/>
        <n v="69.696"/>
        <n v="95.733"/>
        <n v="210.837"/>
        <n v="14.025"/>
        <n v="11.209"/>
        <n v="58.124"/>
        <n v="0.649"/>
        <n v="9.416"/>
        <n v="46.321"/>
        <n v="17.061"/>
        <n v="119.086"/>
        <n v="92.631"/>
        <n v="17.226"/>
        <n v="182.941"/>
        <n v="29.458"/>
        <n v="60.313"/>
        <n v="121.407"/>
        <n v="25.619"/>
        <n v="273.966"/>
        <n v="156.288"/>
        <n v="3.41"/>
        <n v="0.858"/>
        <n v="9.493"/>
        <n v="70.609"/>
        <n v="178.563"/>
        <n v="1.43"/>
        <n v="396.693"/>
        <n v="59.18"/>
        <n v="46.145"/>
        <n v="40.381"/>
        <n v="38.368"/>
        <n v="21.604"/>
        <n v="317.273"/>
        <n v="144.87"/>
        <n v="201.487"/>
        <n v="105.644"/>
        <n v="33.594"/>
        <n v="79.167"/>
        <n v="24.2"/>
        <n v="11.154"/>
        <n v="14.905"/>
        <n v="112.145"/>
        <n v="215.248"/>
        <n v="1.287"/>
        <n v="0.495"/>
        <n v="979.858"/>
        <n v="136.532"/>
        <n v="4.334"/>
        <n v="22.132"/>
        <n v="22.429"/>
        <n v="24.431"/>
        <n v="5.984"/>
        <n v="49.533"/>
        <n v="38.533"/>
        <n v="8.789"/>
        <n v="104.247"/>
        <n v="37.664"/>
        <n v="185.504"/>
        <n v="34.056"/>
        <n v="15.389"/>
        <n v="102.993"/>
        <n v="38.346"/>
        <n v="52.162"/>
        <n v="139.018"/>
        <n v="5.995"/>
        <n v="134.706"/>
        <n v="139.216"/>
        <n v="33.374"/>
        <n v="202.851"/>
        <n v="148.885"/>
        <n v="66.286"/>
        <n v="98.076"/>
        <n v="30.096"/>
        <n v="92.323"/>
        <n v="13.761"/>
        <n v="74.668"/>
        <n v="81.169"/>
        <n v="171.567"/>
        <n v="38.302"/>
        <n v="118.844"/>
        <n v="100.628"/>
        <n v="12.386"/>
        <n v="32.813"/>
        <n v="2.64"/>
        <n v="26.015"/>
        <n v="4.147"/>
        <n v="105.226"/>
        <n v="23.628"/>
        <n v="0.22"/>
        <n v="24.992"/>
        <n v="77.319"/>
        <n v="19.305"/>
        <n v="151.085"/>
        <n v="48.532"/>
        <n v="109.153"/>
        <n v="3.322"/>
        <n v="26.95"/>
        <n v="407.671"/>
        <n v="8.723"/>
        <n v="20.559"/>
        <n v="34.419"/>
        <n v="12.199"/>
        <n v="62.293"/>
        <n v="504.658"/>
        <n v="48.587"/>
        <n v="4.774"/>
        <n v="81.213"/>
        <n v="19.712"/>
        <n v="10.131"/>
        <n v="172.326"/>
        <n v="21.967"/>
        <n v="9.064"/>
        <n v="4.477"/>
        <n v="95.183"/>
        <n v="80.322"/>
        <n v="52.734"/>
        <n v="15.345"/>
        <n v="3.85"/>
        <n v="10.23"/>
        <n v="16.148"/>
        <n v="75.526"/>
        <n v="42.702"/>
        <n v="58.63"/>
        <n v="7.953"/>
        <n v="207.999"/>
        <n v="154.286"/>
        <n v="27.896"/>
        <n v="3.014"/>
        <n v="198.495"/>
        <n v="8.932"/>
        <n v="12.727"/>
        <n v="161.766"/>
        <n v="27.599"/>
        <n v="17.897"/>
        <n v="163.471"/>
        <n v="6.787"/>
        <n v="16.258"/>
        <n v="97.9"/>
        <n v="159.544"/>
        <n v="13.123"/>
        <n v="5.423"/>
        <n v="66.198"/>
        <n v="71.016"/>
        <n v="50.149"/>
        <n v="4.62"/>
        <n v="18.007"/>
        <n v="91.839"/>
        <n v="75.372"/>
        <n v="4.851"/>
        <n v="14.322"/>
        <n v="5.291"/>
        <n v="779.845"/>
        <n v="70.763"/>
        <n v="8.228"/>
        <n v="16.808"/>
        <n v="7.568"/>
        <n v="70.895"/>
        <n v="33.583"/>
        <n v="78.177"/>
        <n v="5.819"/>
        <n v="231.209"/>
        <n v="18.656"/>
        <n v="69.179"/>
        <n v="11.704"/>
        <n v="72.589"/>
        <n v="5.115"/>
        <n v="51.447"/>
        <n v="39.831"/>
        <n v="32.725"/>
        <n v="112.222"/>
        <n v="46.948"/>
        <n v="9.735"/>
        <n v="76.252"/>
        <n v="18.414"/>
        <n v="65.043"/>
        <n v="7.843"/>
        <n v="23.309"/>
        <n v="52.195"/>
        <n v="5.489"/>
        <n v="0.165"/>
        <n v="404.393"/>
        <n v="385.704"/>
        <n v="3.883"/>
        <n v="116.215"/>
        <n v="868.945"/>
        <n v="224.917"/>
        <n v="69.058"/>
        <n v="35.277"/>
        <n v="239.965"/>
        <n v="100.936"/>
        <n v="14.707"/>
        <n v="18.942"/>
        <n v="49.863"/>
        <n v="85.393"/>
        <n v="269.269"/>
        <n v="12.166"/>
        <n v="64.449"/>
        <n v="46.09"/>
        <n v="3.685"/>
        <n v="73.359"/>
        <n v="373.142"/>
        <n v="81.906"/>
        <n v="206.844"/>
        <n v="30.734"/>
        <n v="17.204"/>
        <n v="64.768"/>
        <n v="86.735"/>
        <n v="5.357"/>
        <n v="13.596"/>
        <n v="1108.404"/>
        <n v="75.515"/>
        <n v="12.045"/>
        <n v="52.987"/>
        <n v="27.401"/>
        <n v="13.112"/>
        <n v="214.192"/>
        <n v="196.273"/>
        <n v="1.573"/>
        <n v="188.364"/>
        <n v="4.752"/>
        <n v="80.245"/>
        <n v="91.542"/>
        <n v="164.439"/>
        <n v="133.067"/>
        <n v="277.739"/>
        <n v="10.78"/>
        <n v="106.392"/>
        <n v="80.267"/>
        <n v="8.855"/>
        <n v="40.315"/>
        <n v="266.431"/>
        <n v="25.245"/>
        <n v="66.473"/>
        <n v="15.125"/>
        <n v="7.865"/>
        <n v="97.24"/>
        <n v="37.367"/>
        <n v="7.194"/>
        <n v="64.878"/>
        <n v="207.889"/>
        <n v="28.666"/>
        <n v="128.073"/>
        <n v="93.324"/>
        <n v="41.36"/>
        <n v="140.074"/>
        <n v="20.416"/>
        <n v="27.951"/>
        <n v="32.56"/>
        <n v="15.103"/>
        <n v="83.479"/>
        <n v="3.311"/>
        <n v="30.481"/>
        <n v="8.008"/>
        <n v="65.054"/>
        <n v="14.751"/>
        <n v="0.528"/>
        <n v="68.772"/>
        <n v="214.137"/>
        <n v="4.862"/>
        <n v="49.247"/>
        <n v="61.512"/>
        <n v="35.31"/>
        <n v="191.62"/>
        <n v="5.764"/>
        <n v="106.458"/>
        <n v="17.974"/>
        <n v="38.632"/>
        <n v="48.862"/>
        <n v="32.978"/>
        <n v="49.643"/>
        <n v="64.13"/>
        <n v="3.212"/>
        <n v="53.647"/>
        <n v="8.206"/>
        <n v="417.043"/>
        <n v="87.34"/>
        <n v="220.264"/>
        <n v="30.569"/>
        <n v="2.035"/>
        <n v="88.715"/>
        <n v="598.488"/>
        <n v="8.921"/>
        <n v="2.123"/>
        <n v="0.825"/>
        <n v="128.183"/>
        <n v="20.383"/>
        <n v="170.148"/>
        <n v="100.155"/>
        <n v="1.034"/>
        <n v="26.103"/>
        <n v="56.067"/>
        <n v="106.898"/>
        <n v="104.28"/>
        <n v="48.29"/>
        <n v="152.559"/>
        <n v="118.206"/>
        <n v="33.396"/>
        <n v="94.006"/>
        <n v="35.585"/>
        <n v="0.957"/>
        <n v="45.518"/>
        <n v="525.69"/>
        <n v="536.118"/>
        <n v="52.206"/>
        <n v="221.419"/>
        <n v="174.284"/>
        <n v="42.504"/>
        <n v="25.905"/>
        <n v="197.571"/>
        <n v="46.079"/>
        <n v="32.406"/>
        <n v="0.154"/>
        <n v="13.651"/>
        <n v="156.563"/>
        <n v="50.094"/>
        <n v="15.675"/>
        <n v="6.82"/>
        <n v="194.491"/>
        <n v="22.66"/>
        <n v="7.854"/>
        <n v="102.575"/>
        <n v="60.786"/>
        <n v="62.865"/>
        <n v="387.959"/>
        <n v="400.565"/>
        <n v="116.391"/>
        <n v="122.419"/>
        <n v="1.408"/>
        <n v="124.465"/>
        <n v="1.397"/>
        <n v="28.941"/>
        <n v="255.662"/>
        <n v="85.899"/>
        <n v="51.942"/>
        <n v="26.829"/>
        <n v="223.828"/>
        <n v="105.325"/>
        <n v="25.036"/>
        <n v="0.99"/>
        <n v="35.035"/>
        <n v="2.211"/>
        <n v="4.433"/>
        <n v="427.878"/>
        <n v="29.271"/>
        <n v="83.743"/>
        <n v="39.743"/>
        <n v="4.84"/>
        <n v="160.193"/>
        <n v="37.125"/>
        <n v="106.15"/>
        <n v="326.073"/>
        <n v="328.999"/>
        <n v="14.762"/>
        <n v="17.38"/>
        <n v="891.055"/>
        <n v="67.122"/>
        <n v="153.274"/>
        <n v="438.196"/>
        <n v="18.392"/>
        <n v="112.805"/>
        <n v="50.072"/>
        <n v="299.717"/>
        <n v="0.638"/>
        <n v="71.61"/>
        <n v="242.341"/>
        <n v="26.334"/>
        <n v="167.53"/>
        <n v="5.258"/>
        <n v="3.872"/>
        <n v="149.193"/>
        <n v="23.914"/>
        <n v="3.256"/>
        <n v="231.88"/>
        <n v="5.478"/>
        <n v="57.651"/>
        <n v="98.923"/>
        <n v="183.755"/>
        <n v="26.939"/>
        <n v="69.52"/>
        <n v="24.827"/>
        <n v="65.175"/>
        <n v="187.968"/>
        <n v="56.584"/>
        <n v="10.483"/>
        <n v="53.812"/>
        <n v="82.038"/>
        <n v="23.892"/>
        <n v="63.525"/>
        <n v="11.913"/>
        <n v="18.216"/>
        <n v="98.89"/>
        <n v="64.163"/>
        <n v="155.166"/>
        <n v="106.315"/>
        <n v="18.667"/>
        <n v="121.121"/>
        <n v="1.793"/>
        <n v="50.567"/>
        <n v="48.51"/>
        <n v="8.569"/>
        <n v="3.201"/>
        <n v="12.188"/>
        <n v="90.068"/>
        <n v="12.056"/>
        <n v="268.103"/>
        <n v="26.092"/>
        <n v="76.109"/>
        <n v="34.573"/>
        <n v="129.063"/>
        <n v="255.805"/>
        <n v="67.683"/>
        <n v="87.23"/>
        <n v="143.869"/>
        <n v="1.529"/>
        <n v="8.47"/>
        <n v="2.618"/>
        <n v="18.381"/>
        <n v="80.531"/>
        <n v="9.009"/>
        <n v="151.987"/>
        <n v="13.189"/>
        <n v="171.204"/>
        <n v="20.526"/>
        <n v="361.614"/>
        <n v="41.085"/>
        <n v="159.995"/>
        <n v="47.014"/>
        <n v="173.305"/>
        <n v="1.749"/>
        <n v="160.952"/>
        <n v="71.566"/>
        <n v="5.852"/>
        <n v="12.309"/>
        <n v="100.408"/>
        <n v="106.073"/>
        <n v="53.02"/>
        <n v="22.275"/>
        <n v="386.683"/>
        <n v="7.469"/>
        <n v="63.943"/>
        <n v="46.343"/>
        <n v="80.476"/>
        <n v="1.21"/>
        <n v="137.478"/>
        <n v="77.099"/>
        <n v="1.661"/>
        <n v="121.957"/>
        <n v="274.923"/>
        <n v="46.97"/>
        <n v="110.66"/>
        <n v="31.053"/>
        <n v="18.535"/>
        <n v="26.169"/>
        <n v="4.972"/>
        <n v="23.639"/>
        <n v="139.326"/>
        <n v="29.172"/>
        <n v="36.685"/>
        <n v="2.563"/>
        <n v="33.836"/>
        <n v="151.184"/>
        <n v="106.799"/>
        <n v="282.986"/>
        <n v="60.753"/>
        <n v="30.063"/>
        <n v="261.074"/>
        <n v="24.321"/>
        <n v="1.496"/>
        <n v="50.083"/>
        <n v="4.763"/>
        <n v="34.342"/>
        <n v="65.758"/>
        <n v="52.118"/>
        <n v="144.034"/>
        <n v="16.082"/>
        <n v="791.758"/>
        <n v="336.677"/>
        <n v="72.028"/>
        <n v="21.736"/>
        <n v="41.272"/>
        <n v="40.348"/>
        <n v="7.7"/>
        <n v="180.367"/>
        <n v="1.353"/>
        <n v="87.175"/>
        <n v="7.799"/>
        <n v="69.894"/>
        <n v="99.935"/>
        <n v="170.192"/>
        <n v="90.013"/>
        <n v="79.409"/>
        <n v="47.586"/>
        <n v="78.639"/>
        <n v="32.758"/>
        <n v="76.483"/>
        <n v="453.068"/>
        <n v="14.652"/>
        <n v="65.208"/>
        <n v="38.973"/>
        <n v="2.981"/>
        <n v="466.73"/>
        <n v="59.862"/>
        <n v="10.186"/>
        <n v="27.742"/>
        <n v="234.278"/>
        <n v="62.106"/>
        <n v="536.327"/>
        <n v="42.064"/>
        <n v="54.109"/>
        <n v="176.605"/>
        <n v="191.455"/>
        <n v="59.213"/>
        <n v="110.242"/>
        <n v="188.067"/>
        <n v="64.273"/>
        <n v="207.735"/>
        <n v="57.761"/>
        <n v="83.71"/>
        <n v="21.186"/>
        <n v="16.423"/>
        <n v="58.553"/>
        <n v="33.286"/>
        <n v="3.344"/>
        <n v="382.954"/>
        <n v="120.021"/>
        <n v="210.397"/>
        <n v="157.608"/>
        <n v="13.244"/>
        <n v="123.497"/>
        <n v="192.852"/>
        <n v="0.902"/>
        <n v="21.538"/>
        <n v="35.607"/>
        <n v="66.462"/>
        <n v="41.866"/>
        <n v="51.359"/>
        <n v="9.35"/>
        <n v="96.811"/>
        <n v="3.124"/>
        <n v="25.41"/>
        <n v="0.583"/>
        <n v="100.067"/>
        <n v="6.204"/>
        <n v="1.375"/>
        <n v="57.057"/>
        <n v="308.671"/>
        <n v="36.036"/>
        <n v="22.407"/>
        <n v="132.297"/>
        <n v="85.558"/>
        <n v="127.743"/>
        <n v="179.025"/>
        <n v="35.695"/>
        <n v="663.894"/>
        <n v="1.331"/>
        <n v="1.826"/>
        <n v="68.299"/>
        <n v="48.565"/>
        <n v="179.245"/>
        <n v="15.092"/>
        <n v="28.919"/>
        <n v="10.109"/>
        <n v="36.256"/>
        <n v="58.355"/>
        <n v="41.921"/>
        <n v="42.009"/>
        <n v="639.001"/>
        <n v="36.355"/>
        <n v="3.861"/>
        <n v="70.147"/>
        <n v="9.119"/>
        <n v="53.713"/>
        <n v="21.78"/>
        <n v="32.571"/>
        <n v="194.128"/>
        <n v="69.014"/>
        <n v="75.086"/>
        <n v="166.672"/>
        <n v="2.497"/>
        <n v="43.912"/>
        <n v="21.769"/>
        <n v="37.323"/>
        <n v="17.105"/>
        <n v="14.96"/>
        <n v="148.104"/>
        <n v="59.565"/>
        <n v="35.211"/>
        <n v="52.349"/>
        <n v="37.048"/>
        <n v="34.661"/>
        <n v="35.079"/>
        <n v="83.963"/>
        <n v="21.747"/>
        <n v="440.891"/>
        <n v="19.745"/>
        <n v="2.387"/>
        <n v="58.212"/>
        <n v="11.242"/>
        <n v="29.92"/>
        <n v="3.586"/>
        <n v="25.729"/>
        <n v="81.884"/>
        <n v="2.75"/>
        <n v="33.935"/>
        <n v="44.462"/>
        <n v="30.701"/>
        <n v="49.115"/>
        <n v="115.896"/>
        <n v="54.516"/>
        <n v="2.288"/>
        <n v="114.917"/>
        <n v="303.369"/>
        <n v="2.97"/>
        <n v="96.118"/>
        <n v="158.818"/>
        <n v="29.909"/>
        <n v="68.442"/>
        <n v="82.06"/>
        <n v="0.231"/>
        <n v="17.776"/>
        <n v="134.002"/>
        <n v="0.022"/>
        <n v="16.687"/>
        <n v="14.256"/>
        <n v="35.497"/>
        <n v="41.767"/>
        <n v="229.35"/>
        <n v="36.102"/>
        <n v="388.377"/>
        <n v="1.386"/>
        <n v="212.707"/>
        <n v="15.411"/>
        <n v="723.294"/>
        <n v="232.342"/>
        <n v="100.661"/>
        <n v="239.646"/>
        <n v="204.028"/>
        <n v="67.254"/>
        <n v="38.236"/>
        <n v="129.371"/>
        <n v="42.361"/>
        <n v="4.697"/>
        <n v="9.691"/>
        <n v="72.083"/>
        <n v="50.6"/>
        <n v="1.232"/>
        <n v="81.301"/>
        <n v="22.341"/>
        <n v="105.985"/>
        <n v="60.632"/>
        <n v="217.03"/>
        <n v="155.276"/>
        <n v="16.401"/>
        <n v="49.324"/>
        <n v="27.709"/>
        <n v="222.464"/>
        <n v="87.406"/>
        <n v="65.021"/>
        <n v="31.581"/>
        <n v="267.245"/>
        <n v="36.289"/>
        <n v="25.96"/>
        <n v="5.082"/>
        <n v="37.18"/>
        <n v="829.686"/>
        <n v="12.815"/>
        <n v="3.487"/>
        <n v="47.63"/>
        <n v="326.898"/>
        <n v="136.213"/>
        <n v="81.796"/>
        <n v="32.087"/>
        <n v="51.799"/>
        <n v="57.772"/>
        <n v="32.549"/>
        <n v="52.624"/>
        <n v="913.825"/>
        <n v="249.942"/>
        <n v="666.809"/>
        <n v="93.214"/>
        <n v="44.352"/>
        <n v="0.187"/>
        <n v="164.417"/>
        <n v="3.52"/>
        <n v="71.5"/>
        <n v="20.724"/>
        <n v="53.042"/>
        <n v="32.989"/>
        <n v="9.68"/>
        <n v="9.592"/>
        <n v="77.638"/>
        <n v="78.804"/>
        <n v="51.282"/>
        <n v="26.532"/>
        <n v="9.174"/>
        <n v="65.351"/>
        <n v="3.069"/>
        <n v="73.986"/>
        <n v="0.363"/>
        <n v="133.012"/>
        <n v="306.856"/>
        <n v="4.543"/>
        <n v="34.254"/>
        <n v="94.38"/>
        <n v="12.078"/>
        <n v="32.923"/>
        <n v="89.903"/>
        <n v="33.099"/>
        <n v="14.201"/>
        <n v="49.192"/>
        <n v="8.778"/>
        <n v="89.925"/>
        <n v="17.237"/>
        <n v="149.6"/>
        <n v="1.023"/>
        <n v="284.504"/>
        <n v="27.445"/>
        <n v="20.284"/>
        <n v="6.809"/>
        <n v="42.108"/>
        <n v="9.383"/>
        <m/>
      </sharedItems>
    </cacheField>
    <cacheField name="Ship Country" numFmtId="0">
      <sharedItems containsNumber="1" containsInteger="1" containsMixedTypes="1" count="22">
        <s v="France"/>
        <s v="Germany"/>
        <s v="Brazil"/>
        <s v="Belgium"/>
        <s v="Switzerland"/>
        <s v="Venezuela"/>
        <s v="Austria"/>
        <s v="Mexico"/>
        <s v="USA"/>
        <s v="Sweden"/>
        <s v="Finland"/>
        <s v="Italy"/>
        <s v="Spain"/>
        <s v="UK"/>
        <s v="Ireland"/>
        <s v="Portugal"/>
        <s v="Canada"/>
        <s v="Denmark"/>
        <s v="Poland"/>
        <s v="Norway"/>
        <s v="Argentina"/>
        <n v="83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s v="Wilman Kala"/>
    <s v="Buchanan, Steven"/>
    <x v="0"/>
    <x v="0"/>
    <x v="0"/>
    <n v="35.618000000000002"/>
    <x v="0"/>
  </r>
  <r>
    <n v="10249"/>
    <s v="Tradição Hipermercados"/>
    <s v="Suyama, Michael"/>
    <x v="1"/>
    <x v="1"/>
    <x v="1"/>
    <n v="12.771000000000001"/>
    <x v="1"/>
  </r>
  <r>
    <n v="10250"/>
    <s v="Hanari Carnes"/>
    <s v="Peacock, Margaret"/>
    <x v="2"/>
    <x v="2"/>
    <x v="2"/>
    <n v="72.412999999999997"/>
    <x v="2"/>
  </r>
  <r>
    <n v="10251"/>
    <s v="Victuailles en stock"/>
    <s v="Leverling, Janet"/>
    <x v="2"/>
    <x v="3"/>
    <x v="1"/>
    <n v="45.473999999999997"/>
    <x v="0"/>
  </r>
  <r>
    <n v="10252"/>
    <s v="Suprêmes délices"/>
    <s v="Peacock, Margaret"/>
    <x v="3"/>
    <x v="4"/>
    <x v="2"/>
    <n v="56.43"/>
    <x v="3"/>
  </r>
  <r>
    <n v="10253"/>
    <s v="Hanari Carnes"/>
    <s v="Leverling, Janet"/>
    <x v="4"/>
    <x v="0"/>
    <x v="2"/>
    <n v="63.987000000000002"/>
    <x v="2"/>
  </r>
  <r>
    <n v="10254"/>
    <s v="Chop-suey Chinese"/>
    <s v="Buchanan, Steven"/>
    <x v="5"/>
    <x v="5"/>
    <x v="1"/>
    <n v="25.277999999999999"/>
    <x v="4"/>
  </r>
  <r>
    <n v="10255"/>
    <s v="Richter Supermarkt"/>
    <s v="Dodsworth, Anne"/>
    <x v="6"/>
    <x v="3"/>
    <x v="0"/>
    <n v="163.16300000000001"/>
    <x v="4"/>
  </r>
  <r>
    <n v="10256"/>
    <s v="Wellington Importadora"/>
    <s v="Leverling, Janet"/>
    <x v="7"/>
    <x v="6"/>
    <x v="2"/>
    <n v="15.367000000000001"/>
    <x v="2"/>
  </r>
  <r>
    <n v="10257"/>
    <s v="HILARIÓN-Abastos"/>
    <s v="Peacock, Margaret"/>
    <x v="8"/>
    <x v="7"/>
    <x v="0"/>
    <n v="90.100999999999999"/>
    <x v="5"/>
  </r>
  <r>
    <n v="10258"/>
    <s v="Ernst Handel"/>
    <s v="Davolio, Nancy"/>
    <x v="9"/>
    <x v="5"/>
    <x v="1"/>
    <n v="154.56100000000001"/>
    <x v="6"/>
  </r>
  <r>
    <n v="10259"/>
    <s v="Centro comercial Moctezuma"/>
    <s v="Peacock, Margaret"/>
    <x v="10"/>
    <x v="8"/>
    <x v="0"/>
    <n v="3.5750000000000002"/>
    <x v="7"/>
  </r>
  <r>
    <n v="10260"/>
    <s v="Old World Delicatessen"/>
    <s v="Peacock, Margaret"/>
    <x v="11"/>
    <x v="9"/>
    <x v="1"/>
    <n v="60.598999999999997"/>
    <x v="1"/>
  </r>
  <r>
    <n v="10261"/>
    <s v="Que Delícia"/>
    <s v="Peacock, Margaret"/>
    <x v="11"/>
    <x v="10"/>
    <x v="2"/>
    <n v="3.355"/>
    <x v="2"/>
  </r>
  <r>
    <n v="10262"/>
    <s v="Rattlesnake Canyon Grocery"/>
    <s v="Callahan, Laura"/>
    <x v="12"/>
    <x v="8"/>
    <x v="0"/>
    <n v="53.119"/>
    <x v="8"/>
  </r>
  <r>
    <n v="10263"/>
    <s v="Ernst Handel"/>
    <s v="Dodsworth, Anne"/>
    <x v="13"/>
    <x v="11"/>
    <x v="0"/>
    <n v="160.666"/>
    <x v="6"/>
  </r>
  <r>
    <n v="10264"/>
    <s v="Folk och fä HB"/>
    <s v="Suyama, Michael"/>
    <x v="14"/>
    <x v="12"/>
    <x v="0"/>
    <n v="4.0369999999999999"/>
    <x v="9"/>
  </r>
  <r>
    <n v="10265"/>
    <s v="Blondel père et fils"/>
    <s v="Fuller, Andrew"/>
    <x v="15"/>
    <x v="13"/>
    <x v="1"/>
    <n v="60.808"/>
    <x v="0"/>
  </r>
  <r>
    <n v="10266"/>
    <s v="Wartian Herkku"/>
    <s v="Leverling, Janet"/>
    <x v="16"/>
    <x v="11"/>
    <x v="0"/>
    <n v="28.303000000000001"/>
    <x v="10"/>
  </r>
  <r>
    <n v="10267"/>
    <s v="Frankenversand"/>
    <s v="Peacock, Margaret"/>
    <x v="17"/>
    <x v="14"/>
    <x v="1"/>
    <n v="229.43799999999999"/>
    <x v="1"/>
  </r>
  <r>
    <n v="10268"/>
    <s v="GROSELLA-Restaurante"/>
    <s v="Callahan, Laura"/>
    <x v="18"/>
    <x v="15"/>
    <x v="0"/>
    <n v="72.918999999999997"/>
    <x v="5"/>
  </r>
  <r>
    <n v="10269"/>
    <s v="White Clover Markets"/>
    <s v="Buchanan, Steven"/>
    <x v="19"/>
    <x v="16"/>
    <x v="1"/>
    <n v="5.016"/>
    <x v="8"/>
  </r>
  <r>
    <n v="10270"/>
    <s v="Wartian Herkku"/>
    <s v="Davolio, Nancy"/>
    <x v="20"/>
    <x v="15"/>
    <x v="1"/>
    <n v="150.19399999999999"/>
    <x v="10"/>
  </r>
  <r>
    <n v="10271"/>
    <s v="Split Rail Beer &amp; Ale"/>
    <s v="Suyama, Michael"/>
    <x v="20"/>
    <x v="17"/>
    <x v="2"/>
    <n v="4.9939999999999998"/>
    <x v="8"/>
  </r>
  <r>
    <n v="10272"/>
    <s v="Rattlesnake Canyon Grocery"/>
    <s v="Suyama, Michael"/>
    <x v="21"/>
    <x v="14"/>
    <x v="2"/>
    <n v="107.833"/>
    <x v="8"/>
  </r>
  <r>
    <n v="10273"/>
    <s v="QUICK-Stop"/>
    <s v="Leverling, Janet"/>
    <x v="22"/>
    <x v="13"/>
    <x v="0"/>
    <n v="83.677000000000007"/>
    <x v="1"/>
  </r>
  <r>
    <n v="10274"/>
    <s v="Vins et alcools Chevalier"/>
    <s v="Suyama, Michael"/>
    <x v="23"/>
    <x v="18"/>
    <x v="1"/>
    <n v="6.6109999999999998"/>
    <x v="0"/>
  </r>
  <r>
    <n v="10275"/>
    <s v="Magazzini Alimentari Riuniti"/>
    <s v="Davolio, Nancy"/>
    <x v="24"/>
    <x v="16"/>
    <x v="1"/>
    <n v="29.623000000000001"/>
    <x v="11"/>
  </r>
  <r>
    <n v="10276"/>
    <s v="Tortuga Restaurante"/>
    <s v="Callahan, Laura"/>
    <x v="25"/>
    <x v="19"/>
    <x v="0"/>
    <n v="15.224"/>
    <x v="7"/>
  </r>
  <r>
    <n v="10277"/>
    <s v="Morgenstern Gesundkost"/>
    <s v="Fuller, Andrew"/>
    <x v="26"/>
    <x v="20"/>
    <x v="0"/>
    <n v="138.34700000000001"/>
    <x v="1"/>
  </r>
  <r>
    <n v="10278"/>
    <s v="Berglunds snabbköp"/>
    <s v="Callahan, Laura"/>
    <x v="27"/>
    <x v="18"/>
    <x v="2"/>
    <n v="101.959"/>
    <x v="9"/>
  </r>
  <r>
    <n v="10279"/>
    <s v="Lehmanns Marktstand"/>
    <s v="Callahan, Laura"/>
    <x v="28"/>
    <x v="18"/>
    <x v="2"/>
    <n v="28.413"/>
    <x v="1"/>
  </r>
  <r>
    <n v="10280"/>
    <s v="Berglunds snabbköp"/>
    <s v="Fuller, Andrew"/>
    <x v="29"/>
    <x v="21"/>
    <x v="1"/>
    <n v="9.8780000000000001"/>
    <x v="9"/>
  </r>
  <r>
    <n v="10281"/>
    <s v="Romero y tomillo"/>
    <s v="Peacock, Margaret"/>
    <x v="29"/>
    <x v="22"/>
    <x v="1"/>
    <n v="3.234"/>
    <x v="12"/>
  </r>
  <r>
    <n v="10282"/>
    <s v="Romero y tomillo"/>
    <s v="Peacock, Margaret"/>
    <x v="30"/>
    <x v="22"/>
    <x v="1"/>
    <n v="13.959"/>
    <x v="12"/>
  </r>
  <r>
    <n v="10283"/>
    <s v="LILA-Supermercado"/>
    <s v="Leverling, Janet"/>
    <x v="31"/>
    <x v="12"/>
    <x v="0"/>
    <n v="93.290999999999997"/>
    <x v="5"/>
  </r>
  <r>
    <n v="10284"/>
    <s v="Lehmanns Marktstand"/>
    <s v="Peacock, Margaret"/>
    <x v="32"/>
    <x v="23"/>
    <x v="1"/>
    <n v="84.215999999999994"/>
    <x v="1"/>
  </r>
  <r>
    <n v="10285"/>
    <s v="QUICK-Stop"/>
    <s v="Davolio, Nancy"/>
    <x v="33"/>
    <x v="24"/>
    <x v="2"/>
    <n v="84.513000000000005"/>
    <x v="1"/>
  </r>
  <r>
    <n v="10286"/>
    <s v="QUICK-Stop"/>
    <s v="Callahan, Laura"/>
    <x v="34"/>
    <x v="17"/>
    <x v="0"/>
    <n v="252.16399999999999"/>
    <x v="1"/>
  </r>
  <r>
    <n v="10287"/>
    <s v="Ricardo Adocicados"/>
    <s v="Callahan, Laura"/>
    <x v="35"/>
    <x v="25"/>
    <x v="0"/>
    <n v="14.036"/>
    <x v="2"/>
  </r>
  <r>
    <n v="10288"/>
    <s v="Reggiani Caseifici"/>
    <s v="Peacock, Margaret"/>
    <x v="36"/>
    <x v="26"/>
    <x v="1"/>
    <n v="8.1950000000000003"/>
    <x v="11"/>
  </r>
  <r>
    <n v="10289"/>
    <s v="B's Beverages"/>
    <s v="King, Robert"/>
    <x v="37"/>
    <x v="25"/>
    <x v="0"/>
    <n v="25.047000000000001"/>
    <x v="13"/>
  </r>
  <r>
    <n v="10290"/>
    <s v="Comércio Mineiro"/>
    <s v="Callahan, Laura"/>
    <x v="38"/>
    <x v="26"/>
    <x v="1"/>
    <n v="87.67"/>
    <x v="2"/>
  </r>
  <r>
    <n v="10291"/>
    <s v="Que Delícia"/>
    <s v="Suyama, Michael"/>
    <x v="38"/>
    <x v="27"/>
    <x v="2"/>
    <n v="7.04"/>
    <x v="2"/>
  </r>
  <r>
    <n v="10292"/>
    <s v="Tradição Hipermercados"/>
    <s v="Davolio, Nancy"/>
    <x v="39"/>
    <x v="28"/>
    <x v="2"/>
    <n v="1.4850000000000001"/>
    <x v="2"/>
  </r>
  <r>
    <n v="10293"/>
    <s v="Tortuga Restaurante"/>
    <s v="Davolio, Nancy"/>
    <x v="40"/>
    <x v="29"/>
    <x v="0"/>
    <n v="23.297999999999998"/>
    <x v="7"/>
  </r>
  <r>
    <n v="10294"/>
    <s v="Rattlesnake Canyon Grocery"/>
    <s v="Peacock, Margaret"/>
    <x v="41"/>
    <x v="30"/>
    <x v="2"/>
    <n v="161.98599999999999"/>
    <x v="8"/>
  </r>
  <r>
    <n v="10295"/>
    <s v="Vins et alcools Chevalier"/>
    <s v="Fuller, Andrew"/>
    <x v="42"/>
    <x v="31"/>
    <x v="2"/>
    <n v="1.2649999999999999"/>
    <x v="0"/>
  </r>
  <r>
    <n v="10296"/>
    <s v="LILA-Supermercado"/>
    <s v="Suyama, Michael"/>
    <x v="43"/>
    <x v="29"/>
    <x v="1"/>
    <n v="0.13200000000000001"/>
    <x v="5"/>
  </r>
  <r>
    <n v="10297"/>
    <s v="Blondel père et fils"/>
    <s v="Buchanan, Steven"/>
    <x v="44"/>
    <x v="31"/>
    <x v="2"/>
    <n v="6.3140000000000001"/>
    <x v="0"/>
  </r>
  <r>
    <n v="10298"/>
    <s v="Hungry Owl All-Night Grocers"/>
    <s v="Suyama, Michael"/>
    <x v="45"/>
    <x v="29"/>
    <x v="2"/>
    <n v="185.042"/>
    <x v="14"/>
  </r>
  <r>
    <n v="10299"/>
    <s v="Ricardo Adocicados"/>
    <s v="Peacock, Margaret"/>
    <x v="46"/>
    <x v="32"/>
    <x v="2"/>
    <n v="32.735999999999997"/>
    <x v="2"/>
  </r>
  <r>
    <n v="10300"/>
    <s v="Magazzini Alimentari Riuniti"/>
    <s v="Fuller, Andrew"/>
    <x v="47"/>
    <x v="33"/>
    <x v="2"/>
    <n v="19.448"/>
    <x v="11"/>
  </r>
  <r>
    <n v="10301"/>
    <s v="Die Wandernde Kuh"/>
    <s v="Callahan, Laura"/>
    <x v="47"/>
    <x v="34"/>
    <x v="2"/>
    <n v="49.588000000000001"/>
    <x v="1"/>
  </r>
  <r>
    <n v="10302"/>
    <s v="Suprêmes délices"/>
    <s v="Peacock, Margaret"/>
    <x v="48"/>
    <x v="35"/>
    <x v="2"/>
    <n v="6.8970000000000002"/>
    <x v="3"/>
  </r>
  <r>
    <n v="10303"/>
    <s v="Godos Cocina Típica"/>
    <s v="King, Robert"/>
    <x v="49"/>
    <x v="33"/>
    <x v="2"/>
    <n v="118.613"/>
    <x v="12"/>
  </r>
  <r>
    <n v="10304"/>
    <s v="Tortuga Restaurante"/>
    <s v="Davolio, Nancy"/>
    <x v="50"/>
    <x v="34"/>
    <x v="2"/>
    <n v="70.168999999999997"/>
    <x v="7"/>
  </r>
  <r>
    <n v="10305"/>
    <s v="Old World Delicatessen"/>
    <s v="Callahan, Laura"/>
    <x v="51"/>
    <x v="35"/>
    <x v="0"/>
    <n v="283.38200000000001"/>
    <x v="8"/>
  </r>
  <r>
    <n v="10306"/>
    <s v="Romero y tomillo"/>
    <s v="Davolio, Nancy"/>
    <x v="52"/>
    <x v="36"/>
    <x v="0"/>
    <n v="8.3160000000000007"/>
    <x v="12"/>
  </r>
  <r>
    <n v="10307"/>
    <s v="Lonesome Pine Restaurant"/>
    <s v="Fuller, Andrew"/>
    <x v="53"/>
    <x v="37"/>
    <x v="2"/>
    <n v="0.61599999999999999"/>
    <x v="8"/>
  </r>
  <r>
    <n v="10308"/>
    <s v="Ana Trujillo Emparedados y helados"/>
    <s v="King, Robert"/>
    <x v="54"/>
    <x v="38"/>
    <x v="0"/>
    <n v="1.7709999999999999"/>
    <x v="7"/>
  </r>
  <r>
    <n v="10309"/>
    <s v="Hungry Owl All-Night Grocers"/>
    <s v="Leverling, Janet"/>
    <x v="55"/>
    <x v="39"/>
    <x v="1"/>
    <n v="52.03"/>
    <x v="14"/>
  </r>
  <r>
    <n v="10310"/>
    <s v="The Big Cheese"/>
    <s v="Callahan, Laura"/>
    <x v="56"/>
    <x v="40"/>
    <x v="2"/>
    <n v="19.271999999999998"/>
    <x v="8"/>
  </r>
  <r>
    <n v="10311"/>
    <s v="Du monde entier"/>
    <s v="Davolio, Nancy"/>
    <x v="56"/>
    <x v="41"/>
    <x v="0"/>
    <n v="27.158999999999999"/>
    <x v="0"/>
  </r>
  <r>
    <n v="10312"/>
    <s v="Die Wandernde Kuh"/>
    <s v="Fuller, Andrew"/>
    <x v="57"/>
    <x v="42"/>
    <x v="2"/>
    <n v="44.286000000000001"/>
    <x v="1"/>
  </r>
  <r>
    <n v="10313"/>
    <s v="QUICK-Stop"/>
    <s v="Fuller, Andrew"/>
    <x v="58"/>
    <x v="43"/>
    <x v="2"/>
    <n v="2.1560000000000001"/>
    <x v="1"/>
  </r>
  <r>
    <n v="10314"/>
    <s v="Rattlesnake Canyon Grocery"/>
    <s v="Davolio, Nancy"/>
    <x v="59"/>
    <x v="43"/>
    <x v="2"/>
    <n v="81.575999999999993"/>
    <x v="8"/>
  </r>
  <r>
    <n v="10315"/>
    <s v="Island Trading"/>
    <s v="Peacock, Margaret"/>
    <x v="60"/>
    <x v="42"/>
    <x v="2"/>
    <n v="45.936"/>
    <x v="13"/>
  </r>
  <r>
    <n v="10316"/>
    <s v="Rattlesnake Canyon Grocery"/>
    <s v="Davolio, Nancy"/>
    <x v="61"/>
    <x v="44"/>
    <x v="0"/>
    <n v="165.16499999999999"/>
    <x v="8"/>
  </r>
  <r>
    <n v="10317"/>
    <s v="Lonesome Pine Restaurant"/>
    <s v="Suyama, Michael"/>
    <x v="62"/>
    <x v="45"/>
    <x v="1"/>
    <n v="13.959"/>
    <x v="8"/>
  </r>
  <r>
    <n v="10318"/>
    <s v="Island Trading"/>
    <s v="Callahan, Laura"/>
    <x v="63"/>
    <x v="43"/>
    <x v="2"/>
    <n v="5.2030000000000003"/>
    <x v="13"/>
  </r>
  <r>
    <n v="10319"/>
    <s v="Tortuga Restaurante"/>
    <s v="King, Robert"/>
    <x v="64"/>
    <x v="46"/>
    <x v="0"/>
    <n v="70.95"/>
    <x v="7"/>
  </r>
  <r>
    <n v="10320"/>
    <s v="Wartian Herkku"/>
    <s v="Buchanan, Steven"/>
    <x v="65"/>
    <x v="47"/>
    <x v="0"/>
    <n v="38.027000000000001"/>
    <x v="10"/>
  </r>
  <r>
    <n v="10321"/>
    <s v="Island Trading"/>
    <s v="Leverling, Janet"/>
    <x v="65"/>
    <x v="46"/>
    <x v="2"/>
    <n v="3.7730000000000001"/>
    <x v="13"/>
  </r>
  <r>
    <n v="10322"/>
    <s v="Pericles Comidas clásicas"/>
    <s v="King, Robert"/>
    <x v="66"/>
    <x v="39"/>
    <x v="0"/>
    <n v="0.44"/>
    <x v="7"/>
  </r>
  <r>
    <n v="10323"/>
    <s v="Königlich Essen"/>
    <s v="Peacock, Margaret"/>
    <x v="67"/>
    <x v="48"/>
    <x v="1"/>
    <n v="5.3680000000000003"/>
    <x v="1"/>
  </r>
  <r>
    <n v="10324"/>
    <s v="Save-a-lot Markets"/>
    <s v="Dodsworth, Anne"/>
    <x v="68"/>
    <x v="45"/>
    <x v="1"/>
    <n v="235.697"/>
    <x v="8"/>
  </r>
  <r>
    <n v="10325"/>
    <s v="Königlich Essen"/>
    <s v="Davolio, Nancy"/>
    <x v="69"/>
    <x v="48"/>
    <x v="0"/>
    <n v="71.346000000000004"/>
    <x v="1"/>
  </r>
  <r>
    <n v="10326"/>
    <s v="Bólido Comidas preparadas"/>
    <s v="Peacock, Margaret"/>
    <x v="70"/>
    <x v="48"/>
    <x v="2"/>
    <n v="85.712000000000003"/>
    <x v="12"/>
  </r>
  <r>
    <n v="10327"/>
    <s v="Folk och fä HB"/>
    <s v="Fuller, Andrew"/>
    <x v="71"/>
    <x v="48"/>
    <x v="1"/>
    <n v="69.695999999999998"/>
    <x v="9"/>
  </r>
  <r>
    <n v="10328"/>
    <s v="Furia Bacalhau e Frutos do Mar"/>
    <s v="Peacock, Margaret"/>
    <x v="72"/>
    <x v="49"/>
    <x v="0"/>
    <n v="95.733000000000004"/>
    <x v="15"/>
  </r>
  <r>
    <n v="10329"/>
    <s v="Split Rail Beer &amp; Ale"/>
    <s v="Peacock, Margaret"/>
    <x v="73"/>
    <x v="39"/>
    <x v="2"/>
    <n v="210.83699999999999"/>
    <x v="8"/>
  </r>
  <r>
    <n v="10330"/>
    <s v="LILA-Supermercado"/>
    <s v="Leverling, Janet"/>
    <x v="74"/>
    <x v="50"/>
    <x v="1"/>
    <n v="14.025"/>
    <x v="5"/>
  </r>
  <r>
    <n v="10331"/>
    <s v="Bon app'"/>
    <s v="Dodsworth, Anne"/>
    <x v="74"/>
    <x v="51"/>
    <x v="1"/>
    <n v="11.209"/>
    <x v="0"/>
  </r>
  <r>
    <n v="10332"/>
    <s v="Mère Paillarde"/>
    <s v="Leverling, Janet"/>
    <x v="75"/>
    <x v="51"/>
    <x v="2"/>
    <n v="58.124000000000002"/>
    <x v="16"/>
  </r>
  <r>
    <n v="10333"/>
    <s v="Wartian Herkku"/>
    <s v="Buchanan, Steven"/>
    <x v="76"/>
    <x v="52"/>
    <x v="0"/>
    <n v="0.64900000000000002"/>
    <x v="10"/>
  </r>
  <r>
    <n v="10334"/>
    <s v="Victuailles en stock"/>
    <s v="Callahan, Laura"/>
    <x v="77"/>
    <x v="50"/>
    <x v="2"/>
    <n v="9.4160000000000004"/>
    <x v="0"/>
  </r>
  <r>
    <n v="10335"/>
    <s v="Hungry Owl All-Night Grocers"/>
    <s v="King, Robert"/>
    <x v="78"/>
    <x v="53"/>
    <x v="2"/>
    <n v="46.320999999999998"/>
    <x v="14"/>
  </r>
  <r>
    <n v="10336"/>
    <s v="Princesa Isabel Vinhos"/>
    <s v="King, Robert"/>
    <x v="79"/>
    <x v="52"/>
    <x v="2"/>
    <n v="17.061"/>
    <x v="15"/>
  </r>
  <r>
    <n v="10337"/>
    <s v="Frankenversand"/>
    <s v="Peacock, Margaret"/>
    <x v="80"/>
    <x v="54"/>
    <x v="0"/>
    <n v="119.086"/>
    <x v="1"/>
  </r>
  <r>
    <n v="10338"/>
    <s v="Old World Delicatessen"/>
    <s v="Peacock, Margaret"/>
    <x v="81"/>
    <x v="54"/>
    <x v="0"/>
    <n v="92.631"/>
    <x v="8"/>
  </r>
  <r>
    <n v="10339"/>
    <s v="Mère Paillarde"/>
    <s v="Fuller, Andrew"/>
    <x v="82"/>
    <x v="55"/>
    <x v="2"/>
    <n v="17.225999999999999"/>
    <x v="16"/>
  </r>
  <r>
    <n v="10340"/>
    <s v="Bon app'"/>
    <s v="Davolio, Nancy"/>
    <x v="83"/>
    <x v="56"/>
    <x v="0"/>
    <n v="182.941"/>
    <x v="0"/>
  </r>
  <r>
    <n v="10341"/>
    <s v="Simons bistro"/>
    <s v="King, Robert"/>
    <x v="83"/>
    <x v="57"/>
    <x v="0"/>
    <n v="29.457999999999998"/>
    <x v="17"/>
  </r>
  <r>
    <n v="10342"/>
    <s v="Frankenversand"/>
    <s v="Peacock, Margaret"/>
    <x v="84"/>
    <x v="55"/>
    <x v="2"/>
    <n v="60.313000000000002"/>
    <x v="1"/>
  </r>
  <r>
    <n v="10343"/>
    <s v="Lehmanns Marktstand"/>
    <s v="Peacock, Margaret"/>
    <x v="85"/>
    <x v="58"/>
    <x v="1"/>
    <n v="121.407"/>
    <x v="1"/>
  </r>
  <r>
    <n v="10344"/>
    <s v="White Clover Markets"/>
    <s v="Peacock, Margaret"/>
    <x v="86"/>
    <x v="57"/>
    <x v="2"/>
    <n v="25.619"/>
    <x v="8"/>
  </r>
  <r>
    <n v="10345"/>
    <s v="QUICK-Stop"/>
    <s v="Fuller, Andrew"/>
    <x v="87"/>
    <x v="59"/>
    <x v="2"/>
    <n v="273.96600000000001"/>
    <x v="1"/>
  </r>
  <r>
    <n v="10346"/>
    <s v="Rattlesnake Canyon Grocery"/>
    <s v="Leverling, Janet"/>
    <x v="88"/>
    <x v="56"/>
    <x v="0"/>
    <n v="156.28800000000001"/>
    <x v="8"/>
  </r>
  <r>
    <n v="10347"/>
    <s v="Familia Arquibaldo"/>
    <s v="Peacock, Margaret"/>
    <x v="89"/>
    <x v="56"/>
    <x v="0"/>
    <n v="3.41"/>
    <x v="2"/>
  </r>
  <r>
    <n v="10348"/>
    <s v="Die Wandernde Kuh"/>
    <s v="Peacock, Margaret"/>
    <x v="90"/>
    <x v="60"/>
    <x v="2"/>
    <n v="0.85799999999999998"/>
    <x v="1"/>
  </r>
  <r>
    <n v="10349"/>
    <s v="Split Rail Beer &amp; Ale"/>
    <s v="King, Robert"/>
    <x v="91"/>
    <x v="60"/>
    <x v="1"/>
    <n v="9.4930000000000003"/>
    <x v="8"/>
  </r>
  <r>
    <n v="10350"/>
    <s v="La maison d'Asie"/>
    <s v="Suyama, Michael"/>
    <x v="92"/>
    <x v="61"/>
    <x v="2"/>
    <n v="70.608999999999995"/>
    <x v="0"/>
  </r>
  <r>
    <n v="10351"/>
    <s v="Ernst Handel"/>
    <s v="Davolio, Nancy"/>
    <x v="92"/>
    <x v="62"/>
    <x v="1"/>
    <n v="178.56299999999999"/>
    <x v="6"/>
  </r>
  <r>
    <n v="10352"/>
    <s v="Furia Bacalhau e Frutos do Mar"/>
    <s v="Leverling, Janet"/>
    <x v="93"/>
    <x v="63"/>
    <x v="0"/>
    <n v="1.43"/>
    <x v="15"/>
  </r>
  <r>
    <n v="10353"/>
    <s v="Piccolo und mehr"/>
    <s v="King, Robert"/>
    <x v="94"/>
    <x v="64"/>
    <x v="0"/>
    <n v="396.69299999999998"/>
    <x v="6"/>
  </r>
  <r>
    <n v="10354"/>
    <s v="Pericles Comidas clásicas"/>
    <s v="Callahan, Laura"/>
    <x v="95"/>
    <x v="62"/>
    <x v="0"/>
    <n v="59.18"/>
    <x v="7"/>
  </r>
  <r>
    <n v="10355"/>
    <s v="Around the Horn"/>
    <s v="Suyama, Michael"/>
    <x v="96"/>
    <x v="62"/>
    <x v="1"/>
    <n v="46.145000000000003"/>
    <x v="13"/>
  </r>
  <r>
    <n v="10356"/>
    <s v="Die Wandernde Kuh"/>
    <s v="Suyama, Michael"/>
    <x v="97"/>
    <x v="65"/>
    <x v="2"/>
    <n v="40.381"/>
    <x v="1"/>
  </r>
  <r>
    <n v="10357"/>
    <s v="LILA-Supermercado"/>
    <s v="Davolio, Nancy"/>
    <x v="98"/>
    <x v="66"/>
    <x v="0"/>
    <n v="38.368000000000002"/>
    <x v="5"/>
  </r>
  <r>
    <n v="10358"/>
    <s v="La maison d'Asie"/>
    <s v="Buchanan, Steven"/>
    <x v="99"/>
    <x v="65"/>
    <x v="1"/>
    <n v="21.603999999999999"/>
    <x v="0"/>
  </r>
  <r>
    <n v="10359"/>
    <s v="Seven Seas Imports"/>
    <s v="Buchanan, Steven"/>
    <x v="100"/>
    <x v="67"/>
    <x v="0"/>
    <n v="317.27300000000002"/>
    <x v="13"/>
  </r>
  <r>
    <n v="10360"/>
    <s v="Blondel père et fils"/>
    <s v="Peacock, Margaret"/>
    <x v="101"/>
    <x v="66"/>
    <x v="0"/>
    <n v="144.87"/>
    <x v="0"/>
  </r>
  <r>
    <n v="10361"/>
    <s v="QUICK-Stop"/>
    <s v="Davolio, Nancy"/>
    <x v="101"/>
    <x v="61"/>
    <x v="2"/>
    <n v="201.48699999999999"/>
    <x v="1"/>
  </r>
  <r>
    <n v="10362"/>
    <s v="Bon app'"/>
    <s v="Leverling, Janet"/>
    <x v="102"/>
    <x v="68"/>
    <x v="1"/>
    <n v="105.64400000000001"/>
    <x v="0"/>
  </r>
  <r>
    <n v="10363"/>
    <s v="Drachenblut Delikatessen"/>
    <s v="Peacock, Margaret"/>
    <x v="103"/>
    <x v="69"/>
    <x v="0"/>
    <n v="33.594000000000001"/>
    <x v="1"/>
  </r>
  <r>
    <n v="10364"/>
    <s v="Eastern Connection"/>
    <s v="Davolio, Nancy"/>
    <x v="103"/>
    <x v="69"/>
    <x v="1"/>
    <n v="79.167000000000002"/>
    <x v="13"/>
  </r>
  <r>
    <n v="10365"/>
    <s v="Antonio Moreno Taquería"/>
    <s v="Leverling, Janet"/>
    <x v="104"/>
    <x v="66"/>
    <x v="2"/>
    <n v="24.2"/>
    <x v="7"/>
  </r>
  <r>
    <n v="10366"/>
    <s v="Galería del gastrónomo"/>
    <s v="Callahan, Laura"/>
    <x v="105"/>
    <x v="70"/>
    <x v="2"/>
    <n v="11.154"/>
    <x v="12"/>
  </r>
  <r>
    <n v="10367"/>
    <s v="Vaffeljernet"/>
    <s v="King, Robert"/>
    <x v="105"/>
    <x v="66"/>
    <x v="0"/>
    <n v="14.904999999999999"/>
    <x v="17"/>
  </r>
  <r>
    <n v="10368"/>
    <s v="Ernst Handel"/>
    <s v="Fuller, Andrew"/>
    <x v="106"/>
    <x v="66"/>
    <x v="2"/>
    <n v="112.145"/>
    <x v="6"/>
  </r>
  <r>
    <n v="10369"/>
    <s v="Split Rail Beer &amp; Ale"/>
    <s v="Callahan, Laura"/>
    <x v="107"/>
    <x v="71"/>
    <x v="2"/>
    <n v="215.24799999999999"/>
    <x v="8"/>
  </r>
  <r>
    <n v="10370"/>
    <s v="Chop-suey Chinese"/>
    <s v="Suyama, Michael"/>
    <x v="108"/>
    <x v="72"/>
    <x v="2"/>
    <n v="1.2869999999999999"/>
    <x v="4"/>
  </r>
  <r>
    <n v="10371"/>
    <s v="La maison d'Asie"/>
    <s v="Davolio, Nancy"/>
    <x v="108"/>
    <x v="73"/>
    <x v="1"/>
    <n v="0.495"/>
    <x v="0"/>
  </r>
  <r>
    <n v="10372"/>
    <s v="Queen Cozinha"/>
    <s v="Buchanan, Steven"/>
    <x v="109"/>
    <x v="71"/>
    <x v="2"/>
    <n v="979.85799999999995"/>
    <x v="2"/>
  </r>
  <r>
    <n v="10373"/>
    <s v="Hungry Owl All-Night Grocers"/>
    <s v="Peacock, Margaret"/>
    <x v="110"/>
    <x v="74"/>
    <x v="0"/>
    <n v="136.53200000000001"/>
    <x v="14"/>
  </r>
  <r>
    <n v="10374"/>
    <s v="Wolski  Zajazd"/>
    <s v="Davolio, Nancy"/>
    <x v="110"/>
    <x v="71"/>
    <x v="0"/>
    <n v="4.3339999999999996"/>
    <x v="18"/>
  </r>
  <r>
    <n v="10375"/>
    <s v="Hungry Coyote Import Store"/>
    <s v="Leverling, Janet"/>
    <x v="111"/>
    <x v="71"/>
    <x v="2"/>
    <n v="22.132000000000001"/>
    <x v="8"/>
  </r>
  <r>
    <n v="10376"/>
    <s v="Mère Paillarde"/>
    <s v="Davolio, Nancy"/>
    <x v="112"/>
    <x v="75"/>
    <x v="2"/>
    <n v="22.428999999999998"/>
    <x v="16"/>
  </r>
  <r>
    <n v="10377"/>
    <s v="Seven Seas Imports"/>
    <s v="Davolio, Nancy"/>
    <x v="112"/>
    <x v="75"/>
    <x v="0"/>
    <n v="24.431000000000001"/>
    <x v="13"/>
  </r>
  <r>
    <n v="10378"/>
    <s v="Folk och fä HB"/>
    <s v="Buchanan, Steven"/>
    <x v="113"/>
    <x v="76"/>
    <x v="0"/>
    <n v="5.984"/>
    <x v="9"/>
  </r>
  <r>
    <n v="10379"/>
    <s v="Que Delícia"/>
    <s v="Fuller, Andrew"/>
    <x v="114"/>
    <x v="75"/>
    <x v="1"/>
    <n v="49.533000000000001"/>
    <x v="2"/>
  </r>
  <r>
    <n v="10380"/>
    <s v="Hungry Owl All-Night Grocers"/>
    <s v="Callahan, Laura"/>
    <x v="115"/>
    <x v="77"/>
    <x v="0"/>
    <n v="38.533000000000001"/>
    <x v="14"/>
  </r>
  <r>
    <n v="10381"/>
    <s v="LILA-Supermercado"/>
    <s v="Leverling, Janet"/>
    <x v="115"/>
    <x v="75"/>
    <x v="0"/>
    <n v="8.7889999999999997"/>
    <x v="5"/>
  </r>
  <r>
    <n v="10382"/>
    <s v="Ernst Handel"/>
    <s v="Peacock, Margaret"/>
    <x v="116"/>
    <x v="78"/>
    <x v="1"/>
    <n v="104.247"/>
    <x v="6"/>
  </r>
  <r>
    <n v="10383"/>
    <s v="Around the Horn"/>
    <s v="Callahan, Laura"/>
    <x v="117"/>
    <x v="79"/>
    <x v="0"/>
    <n v="37.664000000000001"/>
    <x v="13"/>
  </r>
  <r>
    <n v="10384"/>
    <s v="Berglunds snabbköp"/>
    <s v="Leverling, Janet"/>
    <x v="117"/>
    <x v="80"/>
    <x v="0"/>
    <n v="185.50399999999999"/>
    <x v="9"/>
  </r>
  <r>
    <n v="10385"/>
    <s v="Split Rail Beer &amp; Ale"/>
    <s v="Davolio, Nancy"/>
    <x v="118"/>
    <x v="81"/>
    <x v="2"/>
    <n v="34.055999999999997"/>
    <x v="8"/>
  </r>
  <r>
    <n v="10386"/>
    <s v="Familia Arquibaldo"/>
    <s v="Dodsworth, Anne"/>
    <x v="119"/>
    <x v="82"/>
    <x v="0"/>
    <n v="15.388999999999999"/>
    <x v="2"/>
  </r>
  <r>
    <n v="10387"/>
    <s v="Santé Gourmet"/>
    <s v="Davolio, Nancy"/>
    <x v="119"/>
    <x v="80"/>
    <x v="2"/>
    <n v="102.99299999999999"/>
    <x v="19"/>
  </r>
  <r>
    <n v="10388"/>
    <s v="Seven Seas Imports"/>
    <s v="Fuller, Andrew"/>
    <x v="120"/>
    <x v="80"/>
    <x v="1"/>
    <n v="38.345999999999997"/>
    <x v="13"/>
  </r>
  <r>
    <n v="10389"/>
    <s v="Bottom-Dollar Markets"/>
    <s v="Peacock, Margaret"/>
    <x v="121"/>
    <x v="73"/>
    <x v="2"/>
    <n v="52.161999999999999"/>
    <x v="16"/>
  </r>
  <r>
    <n v="10390"/>
    <s v="Ernst Handel"/>
    <s v="Suyama, Michael"/>
    <x v="122"/>
    <x v="83"/>
    <x v="1"/>
    <n v="139.018"/>
    <x v="6"/>
  </r>
  <r>
    <n v="10391"/>
    <s v="Drachenblut Delikatessen"/>
    <s v="Leverling, Janet"/>
    <x v="122"/>
    <x v="84"/>
    <x v="0"/>
    <n v="5.9950000000000001"/>
    <x v="1"/>
  </r>
  <r>
    <n v="10392"/>
    <s v="Piccolo und mehr"/>
    <s v="Fuller, Andrew"/>
    <x v="123"/>
    <x v="85"/>
    <x v="0"/>
    <n v="134.70599999999999"/>
    <x v="6"/>
  </r>
  <r>
    <n v="10393"/>
    <s v="Save-a-lot Markets"/>
    <s v="Davolio, Nancy"/>
    <x v="124"/>
    <x v="86"/>
    <x v="0"/>
    <n v="139.21600000000001"/>
    <x v="8"/>
  </r>
  <r>
    <n v="10394"/>
    <s v="Hungry Coyote Import Store"/>
    <s v="Davolio, Nancy"/>
    <x v="124"/>
    <x v="86"/>
    <x v="0"/>
    <n v="33.374000000000002"/>
    <x v="8"/>
  </r>
  <r>
    <n v="10395"/>
    <s v="HILARIÓN-Abastos"/>
    <s v="Suyama, Michael"/>
    <x v="125"/>
    <x v="86"/>
    <x v="1"/>
    <n v="202.851"/>
    <x v="5"/>
  </r>
  <r>
    <n v="10396"/>
    <s v="Frankenversand"/>
    <s v="Davolio, Nancy"/>
    <x v="126"/>
    <x v="87"/>
    <x v="0"/>
    <n v="148.88499999999999"/>
    <x v="1"/>
  </r>
  <r>
    <n v="10397"/>
    <s v="Princesa Isabel Vinhos"/>
    <s v="Buchanan, Steven"/>
    <x v="126"/>
    <x v="88"/>
    <x v="1"/>
    <n v="66.286000000000001"/>
    <x v="15"/>
  </r>
  <r>
    <n v="10398"/>
    <s v="Save-a-lot Markets"/>
    <s v="Fuller, Andrew"/>
    <x v="127"/>
    <x v="89"/>
    <x v="0"/>
    <n v="98.075999999999993"/>
    <x v="8"/>
  </r>
  <r>
    <n v="10399"/>
    <s v="Vaffeljernet"/>
    <s v="Callahan, Laura"/>
    <x v="128"/>
    <x v="90"/>
    <x v="0"/>
    <n v="30.096"/>
    <x v="17"/>
  </r>
  <r>
    <n v="10400"/>
    <s v="Eastern Connection"/>
    <s v="Davolio, Nancy"/>
    <x v="129"/>
    <x v="77"/>
    <x v="0"/>
    <n v="92.322999999999993"/>
    <x v="13"/>
  </r>
  <r>
    <n v="10401"/>
    <s v="Rattlesnake Canyon Grocery"/>
    <s v="Davolio, Nancy"/>
    <x v="129"/>
    <x v="91"/>
    <x v="1"/>
    <n v="13.760999999999999"/>
    <x v="8"/>
  </r>
  <r>
    <n v="10402"/>
    <s v="Ernst Handel"/>
    <s v="Callahan, Laura"/>
    <x v="130"/>
    <x v="91"/>
    <x v="2"/>
    <n v="74.668000000000006"/>
    <x v="6"/>
  </r>
  <r>
    <n v="10403"/>
    <s v="Ernst Handel"/>
    <s v="Peacock, Margaret"/>
    <x v="131"/>
    <x v="89"/>
    <x v="0"/>
    <n v="81.168999999999997"/>
    <x v="6"/>
  </r>
  <r>
    <n v="10404"/>
    <s v="Magazzini Alimentari Riuniti"/>
    <s v="Fuller, Andrew"/>
    <x v="131"/>
    <x v="90"/>
    <x v="1"/>
    <n v="171.56700000000001"/>
    <x v="11"/>
  </r>
  <r>
    <n v="10405"/>
    <s v="LINO-Delicateses"/>
    <s v="Davolio, Nancy"/>
    <x v="132"/>
    <x v="92"/>
    <x v="1"/>
    <n v="38.302"/>
    <x v="5"/>
  </r>
  <r>
    <n v="10406"/>
    <s v="Queen Cozinha"/>
    <s v="King, Robert"/>
    <x v="133"/>
    <x v="93"/>
    <x v="1"/>
    <n v="118.84399999999999"/>
    <x v="2"/>
  </r>
  <r>
    <n v="10407"/>
    <s v="Ottilies Käseladen"/>
    <s v="Fuller, Andrew"/>
    <x v="133"/>
    <x v="94"/>
    <x v="2"/>
    <n v="100.628"/>
    <x v="1"/>
  </r>
  <r>
    <n v="10408"/>
    <s v="Folies gourmandes"/>
    <s v="Callahan, Laura"/>
    <x v="134"/>
    <x v="95"/>
    <x v="1"/>
    <n v="12.385999999999999"/>
    <x v="0"/>
  </r>
  <r>
    <n v="10409"/>
    <s v="Océano Atlántico Ltda."/>
    <s v="Leverling, Janet"/>
    <x v="135"/>
    <x v="95"/>
    <x v="1"/>
    <n v="32.813000000000002"/>
    <x v="20"/>
  </r>
  <r>
    <n v="10410"/>
    <s v="Bottom-Dollar Markets"/>
    <s v="Leverling, Janet"/>
    <x v="136"/>
    <x v="96"/>
    <x v="0"/>
    <n v="2.64"/>
    <x v="16"/>
  </r>
  <r>
    <n v="10411"/>
    <s v="Bottom-Dollar Markets"/>
    <s v="Dodsworth, Anne"/>
    <x v="136"/>
    <x v="97"/>
    <x v="0"/>
    <n v="26.015000000000001"/>
    <x v="16"/>
  </r>
  <r>
    <n v="10412"/>
    <s v="Wartian Herkku"/>
    <s v="Callahan, Laura"/>
    <x v="137"/>
    <x v="96"/>
    <x v="2"/>
    <n v="4.1470000000000002"/>
    <x v="10"/>
  </r>
  <r>
    <n v="10413"/>
    <s v="La maison d'Asie"/>
    <s v="Leverling, Janet"/>
    <x v="138"/>
    <x v="77"/>
    <x v="2"/>
    <n v="105.226"/>
    <x v="0"/>
  </r>
  <r>
    <n v="10414"/>
    <s v="Familia Arquibaldo"/>
    <s v="Fuller, Andrew"/>
    <x v="138"/>
    <x v="98"/>
    <x v="0"/>
    <n v="23.628"/>
    <x v="2"/>
  </r>
  <r>
    <n v="10415"/>
    <s v="Hungry Coyote Import Store"/>
    <s v="Leverling, Janet"/>
    <x v="139"/>
    <x v="99"/>
    <x v="1"/>
    <n v="0.22"/>
    <x v="8"/>
  </r>
  <r>
    <n v="10416"/>
    <s v="Wartian Herkku"/>
    <s v="Callahan, Laura"/>
    <x v="140"/>
    <x v="100"/>
    <x v="0"/>
    <n v="24.992000000000001"/>
    <x v="10"/>
  </r>
  <r>
    <n v="10417"/>
    <s v="Simons bistro"/>
    <s v="Peacock, Margaret"/>
    <x v="140"/>
    <x v="101"/>
    <x v="0"/>
    <n v="77.319000000000003"/>
    <x v="17"/>
  </r>
  <r>
    <n v="10418"/>
    <s v="QUICK-Stop"/>
    <s v="Peacock, Margaret"/>
    <x v="141"/>
    <x v="99"/>
    <x v="1"/>
    <n v="19.305"/>
    <x v="1"/>
  </r>
  <r>
    <n v="10419"/>
    <s v="Richter Supermarkt"/>
    <s v="Peacock, Margaret"/>
    <x v="142"/>
    <x v="94"/>
    <x v="2"/>
    <n v="151.08500000000001"/>
    <x v="4"/>
  </r>
  <r>
    <n v="10420"/>
    <s v="Wellington Importadora"/>
    <s v="Leverling, Janet"/>
    <x v="143"/>
    <x v="100"/>
    <x v="1"/>
    <n v="48.531999999999996"/>
    <x v="2"/>
  </r>
  <r>
    <n v="10421"/>
    <s v="Que Delícia"/>
    <s v="Callahan, Laura"/>
    <x v="143"/>
    <x v="100"/>
    <x v="1"/>
    <n v="109.15300000000001"/>
    <x v="2"/>
  </r>
  <r>
    <n v="10422"/>
    <s v="Franchi S.p.A."/>
    <s v="Fuller, Andrew"/>
    <x v="144"/>
    <x v="102"/>
    <x v="1"/>
    <n v="3.3220000000000001"/>
    <x v="11"/>
  </r>
  <r>
    <n v="10423"/>
    <s v="Gourmet Lanchonetes"/>
    <s v="Suyama, Michael"/>
    <x v="145"/>
    <x v="103"/>
    <x v="0"/>
    <n v="26.95"/>
    <x v="2"/>
  </r>
  <r>
    <n v="10424"/>
    <s v="Mère Paillarde"/>
    <s v="King, Robert"/>
    <x v="145"/>
    <x v="100"/>
    <x v="2"/>
    <n v="407.67099999999999"/>
    <x v="16"/>
  </r>
  <r>
    <n v="10425"/>
    <s v="La maison d'Asie"/>
    <s v="Suyama, Michael"/>
    <x v="146"/>
    <x v="104"/>
    <x v="2"/>
    <n v="8.7230000000000008"/>
    <x v="0"/>
  </r>
  <r>
    <n v="10426"/>
    <s v="Galería del gastrónomo"/>
    <s v="Peacock, Margaret"/>
    <x v="147"/>
    <x v="105"/>
    <x v="1"/>
    <n v="20.559000000000001"/>
    <x v="12"/>
  </r>
  <r>
    <n v="10427"/>
    <s v="Piccolo und mehr"/>
    <s v="Peacock, Margaret"/>
    <x v="147"/>
    <x v="106"/>
    <x v="2"/>
    <n v="34.418999999999997"/>
    <x v="6"/>
  </r>
  <r>
    <n v="10428"/>
    <s v="Reggiani Caseifici"/>
    <s v="King, Robert"/>
    <x v="148"/>
    <x v="107"/>
    <x v="1"/>
    <n v="12.199"/>
    <x v="11"/>
  </r>
  <r>
    <n v="10429"/>
    <s v="Hungry Owl All-Night Grocers"/>
    <s v="Leverling, Janet"/>
    <x v="149"/>
    <x v="108"/>
    <x v="2"/>
    <n v="62.292999999999999"/>
    <x v="14"/>
  </r>
  <r>
    <n v="10430"/>
    <s v="Ernst Handel"/>
    <s v="Peacock, Margaret"/>
    <x v="150"/>
    <x v="109"/>
    <x v="1"/>
    <n v="504.65800000000002"/>
    <x v="6"/>
  </r>
  <r>
    <n v="10431"/>
    <s v="Bottom-Dollar Markets"/>
    <s v="Peacock, Margaret"/>
    <x v="150"/>
    <x v="108"/>
    <x v="2"/>
    <n v="48.587000000000003"/>
    <x v="16"/>
  </r>
  <r>
    <n v="10432"/>
    <s v="Split Rail Beer &amp; Ale"/>
    <s v="Leverling, Janet"/>
    <x v="151"/>
    <x v="108"/>
    <x v="2"/>
    <n v="4.774"/>
    <x v="8"/>
  </r>
  <r>
    <n v="10433"/>
    <s v="Princesa Isabel Vinhos"/>
    <s v="Leverling, Janet"/>
    <x v="152"/>
    <x v="110"/>
    <x v="0"/>
    <n v="81.212999999999994"/>
    <x v="15"/>
  </r>
  <r>
    <n v="10434"/>
    <s v="Folk och fä HB"/>
    <s v="Leverling, Janet"/>
    <x v="152"/>
    <x v="111"/>
    <x v="2"/>
    <n v="19.712"/>
    <x v="9"/>
  </r>
  <r>
    <n v="10435"/>
    <s v="Consolidated Holdings"/>
    <s v="Callahan, Laura"/>
    <x v="153"/>
    <x v="108"/>
    <x v="2"/>
    <n v="10.131"/>
    <x v="13"/>
  </r>
  <r>
    <n v="10436"/>
    <s v="Blondel père et fils"/>
    <s v="Leverling, Janet"/>
    <x v="154"/>
    <x v="112"/>
    <x v="2"/>
    <n v="172.32599999999999"/>
    <x v="0"/>
  </r>
  <r>
    <n v="10437"/>
    <s v="Wartian Herkku"/>
    <s v="Callahan, Laura"/>
    <x v="154"/>
    <x v="113"/>
    <x v="1"/>
    <n v="21.966999999999999"/>
    <x v="10"/>
  </r>
  <r>
    <n v="10438"/>
    <s v="Toms Spezialitäten"/>
    <s v="Leverling, Janet"/>
    <x v="155"/>
    <x v="104"/>
    <x v="2"/>
    <n v="9.0640000000000001"/>
    <x v="1"/>
  </r>
  <r>
    <n v="10439"/>
    <s v="Mère Paillarde"/>
    <s v="Suyama, Michael"/>
    <x v="156"/>
    <x v="114"/>
    <x v="0"/>
    <n v="4.4770000000000003"/>
    <x v="16"/>
  </r>
  <r>
    <n v="10440"/>
    <s v="Save-a-lot Markets"/>
    <s v="Peacock, Margaret"/>
    <x v="157"/>
    <x v="115"/>
    <x v="2"/>
    <n v="95.183000000000007"/>
    <x v="8"/>
  </r>
  <r>
    <n v="10441"/>
    <s v="Old World Delicatessen"/>
    <s v="Leverling, Janet"/>
    <x v="157"/>
    <x v="116"/>
    <x v="2"/>
    <n v="80.322000000000003"/>
    <x v="8"/>
  </r>
  <r>
    <n v="10442"/>
    <s v="Ernst Handel"/>
    <s v="Leverling, Janet"/>
    <x v="158"/>
    <x v="117"/>
    <x v="2"/>
    <n v="52.734000000000002"/>
    <x v="6"/>
  </r>
  <r>
    <n v="10443"/>
    <s v="Reggiani Caseifici"/>
    <s v="Callahan, Laura"/>
    <x v="159"/>
    <x v="104"/>
    <x v="1"/>
    <n v="15.345000000000001"/>
    <x v="11"/>
  </r>
  <r>
    <n v="10444"/>
    <s v="Berglunds snabbköp"/>
    <s v="Leverling, Janet"/>
    <x v="159"/>
    <x v="118"/>
    <x v="0"/>
    <n v="3.85"/>
    <x v="9"/>
  </r>
  <r>
    <n v="10445"/>
    <s v="Berglunds snabbköp"/>
    <s v="Leverling, Janet"/>
    <x v="160"/>
    <x v="119"/>
    <x v="1"/>
    <n v="10.23"/>
    <x v="9"/>
  </r>
  <r>
    <n v="10446"/>
    <s v="Toms Spezialitäten"/>
    <s v="Suyama, Michael"/>
    <x v="161"/>
    <x v="120"/>
    <x v="1"/>
    <n v="16.148"/>
    <x v="1"/>
  </r>
  <r>
    <n v="10447"/>
    <s v="Ricardo Adocicados"/>
    <s v="Peacock, Margaret"/>
    <x v="161"/>
    <x v="121"/>
    <x v="2"/>
    <n v="75.525999999999996"/>
    <x v="2"/>
  </r>
  <r>
    <n v="10448"/>
    <s v="Rancho grande"/>
    <s v="Peacock, Margaret"/>
    <x v="162"/>
    <x v="103"/>
    <x v="2"/>
    <n v="42.701999999999998"/>
    <x v="20"/>
  </r>
  <r>
    <n v="10449"/>
    <s v="Blondel père et fils"/>
    <s v="Leverling, Janet"/>
    <x v="163"/>
    <x v="122"/>
    <x v="2"/>
    <n v="58.63"/>
    <x v="0"/>
  </r>
  <r>
    <n v="10450"/>
    <s v="Victuailles en stock"/>
    <s v="Callahan, Laura"/>
    <x v="164"/>
    <x v="123"/>
    <x v="2"/>
    <n v="7.9530000000000003"/>
    <x v="0"/>
  </r>
  <r>
    <n v="10451"/>
    <s v="QUICK-Stop"/>
    <s v="Peacock, Margaret"/>
    <x v="164"/>
    <x v="124"/>
    <x v="0"/>
    <n v="207.999"/>
    <x v="1"/>
  </r>
  <r>
    <n v="10452"/>
    <s v="Save-a-lot Markets"/>
    <s v="Callahan, Laura"/>
    <x v="165"/>
    <x v="125"/>
    <x v="1"/>
    <n v="154.286"/>
    <x v="8"/>
  </r>
  <r>
    <n v="10453"/>
    <s v="Around the Horn"/>
    <s v="Davolio, Nancy"/>
    <x v="166"/>
    <x v="125"/>
    <x v="2"/>
    <n v="27.896000000000001"/>
    <x v="13"/>
  </r>
  <r>
    <n v="10454"/>
    <s v="La maison d'Asie"/>
    <s v="Peacock, Margaret"/>
    <x v="166"/>
    <x v="126"/>
    <x v="0"/>
    <n v="3.0139999999999998"/>
    <x v="0"/>
  </r>
  <r>
    <n v="10455"/>
    <s v="Wartian Herkku"/>
    <s v="Callahan, Laura"/>
    <x v="167"/>
    <x v="106"/>
    <x v="2"/>
    <n v="198.495"/>
    <x v="10"/>
  </r>
  <r>
    <n v="10456"/>
    <s v="Königlich Essen"/>
    <s v="Callahan, Laura"/>
    <x v="168"/>
    <x v="115"/>
    <x v="2"/>
    <n v="8.9320000000000004"/>
    <x v="1"/>
  </r>
  <r>
    <n v="10457"/>
    <s v="Königlich Essen"/>
    <s v="Fuller, Andrew"/>
    <x v="168"/>
    <x v="106"/>
    <x v="1"/>
    <n v="12.727"/>
    <x v="1"/>
  </r>
  <r>
    <n v="10458"/>
    <s v="Suprêmes délices"/>
    <s v="King, Robert"/>
    <x v="169"/>
    <x v="110"/>
    <x v="0"/>
    <n v="161.76599999999999"/>
    <x v="3"/>
  </r>
  <r>
    <n v="10459"/>
    <s v="Victuailles en stock"/>
    <s v="Peacock, Margaret"/>
    <x v="170"/>
    <x v="115"/>
    <x v="2"/>
    <n v="27.599"/>
    <x v="0"/>
  </r>
  <r>
    <n v="10460"/>
    <s v="Folk och fä HB"/>
    <s v="Callahan, Laura"/>
    <x v="171"/>
    <x v="106"/>
    <x v="1"/>
    <n v="17.896999999999998"/>
    <x v="9"/>
  </r>
  <r>
    <n v="10461"/>
    <s v="LILA-Supermercado"/>
    <s v="Davolio, Nancy"/>
    <x v="171"/>
    <x v="127"/>
    <x v="0"/>
    <n v="163.471"/>
    <x v="5"/>
  </r>
  <r>
    <n v="10462"/>
    <s v="Consolidated Holdings"/>
    <s v="Fuller, Andrew"/>
    <x v="172"/>
    <x v="128"/>
    <x v="1"/>
    <n v="6.7869999999999999"/>
    <x v="13"/>
  </r>
  <r>
    <n v="10463"/>
    <s v="Suprêmes délices"/>
    <s v="Buchanan, Steven"/>
    <x v="173"/>
    <x v="129"/>
    <x v="0"/>
    <n v="16.257999999999999"/>
    <x v="3"/>
  </r>
  <r>
    <n v="10464"/>
    <s v="Furia Bacalhau e Frutos do Mar"/>
    <s v="Peacock, Margaret"/>
    <x v="173"/>
    <x v="116"/>
    <x v="2"/>
    <n v="97.9"/>
    <x v="15"/>
  </r>
  <r>
    <n v="10465"/>
    <s v="Vaffeljernet"/>
    <s v="Davolio, Nancy"/>
    <x v="174"/>
    <x v="116"/>
    <x v="0"/>
    <n v="159.54400000000001"/>
    <x v="17"/>
  </r>
  <r>
    <n v="10466"/>
    <s v="Comércio Mineiro"/>
    <s v="Peacock, Margaret"/>
    <x v="175"/>
    <x v="130"/>
    <x v="1"/>
    <n v="13.122999999999999"/>
    <x v="2"/>
  </r>
  <r>
    <n v="10467"/>
    <s v="Magazzini Alimentari Riuniti"/>
    <s v="Callahan, Laura"/>
    <x v="175"/>
    <x v="123"/>
    <x v="2"/>
    <n v="5.423"/>
    <x v="11"/>
  </r>
  <r>
    <n v="10468"/>
    <s v="Königlich Essen"/>
    <s v="Leverling, Janet"/>
    <x v="176"/>
    <x v="124"/>
    <x v="0"/>
    <n v="48.531999999999996"/>
    <x v="1"/>
  </r>
  <r>
    <n v="10469"/>
    <s v="White Clover Markets"/>
    <s v="Davolio, Nancy"/>
    <x v="177"/>
    <x v="116"/>
    <x v="1"/>
    <n v="66.197999999999993"/>
    <x v="8"/>
  </r>
  <r>
    <n v="10470"/>
    <s v="Bon app'"/>
    <s v="Peacock, Margaret"/>
    <x v="178"/>
    <x v="116"/>
    <x v="2"/>
    <n v="71.016000000000005"/>
    <x v="0"/>
  </r>
  <r>
    <n v="10471"/>
    <s v="B's Beverages"/>
    <s v="Fuller, Andrew"/>
    <x v="178"/>
    <x v="128"/>
    <x v="0"/>
    <n v="50.149000000000001"/>
    <x v="13"/>
  </r>
  <r>
    <n v="10472"/>
    <s v="Seven Seas Imports"/>
    <s v="Callahan, Laura"/>
    <x v="179"/>
    <x v="131"/>
    <x v="1"/>
    <n v="4.62"/>
    <x v="13"/>
  </r>
  <r>
    <n v="10473"/>
    <s v="Island Trading"/>
    <s v="Davolio, Nancy"/>
    <x v="180"/>
    <x v="132"/>
    <x v="0"/>
    <n v="18.007000000000001"/>
    <x v="13"/>
  </r>
  <r>
    <n v="10474"/>
    <s v="Pericles Comidas clásicas"/>
    <s v="Buchanan, Steven"/>
    <x v="180"/>
    <x v="132"/>
    <x v="2"/>
    <n v="91.838999999999999"/>
    <x v="7"/>
  </r>
  <r>
    <n v="10475"/>
    <s v="Suprêmes délices"/>
    <s v="Dodsworth, Anne"/>
    <x v="181"/>
    <x v="133"/>
    <x v="1"/>
    <n v="75.372"/>
    <x v="3"/>
  </r>
  <r>
    <n v="10476"/>
    <s v="HILARIÓN-Abastos"/>
    <s v="Callahan, Laura"/>
    <x v="182"/>
    <x v="134"/>
    <x v="0"/>
    <n v="4.851"/>
    <x v="5"/>
  </r>
  <r>
    <n v="10477"/>
    <s v="Princesa Isabel Vinhos"/>
    <s v="Buchanan, Steven"/>
    <x v="182"/>
    <x v="135"/>
    <x v="2"/>
    <n v="14.321999999999999"/>
    <x v="15"/>
  </r>
  <r>
    <n v="10478"/>
    <s v="Victuailles en stock"/>
    <s v="Fuller, Andrew"/>
    <x v="183"/>
    <x v="136"/>
    <x v="0"/>
    <n v="5.2910000000000004"/>
    <x v="0"/>
  </r>
  <r>
    <n v="10479"/>
    <s v="Rattlesnake Canyon Grocery"/>
    <s v="Leverling, Janet"/>
    <x v="184"/>
    <x v="132"/>
    <x v="0"/>
    <n v="779.84500000000003"/>
    <x v="8"/>
  </r>
  <r>
    <n v="10480"/>
    <s v="Folies gourmandes"/>
    <s v="Suyama, Michael"/>
    <x v="185"/>
    <x v="134"/>
    <x v="2"/>
    <n v="1.4850000000000001"/>
    <x v="0"/>
  </r>
  <r>
    <n v="10481"/>
    <s v="Ricardo Adocicados"/>
    <s v="Callahan, Laura"/>
    <x v="185"/>
    <x v="135"/>
    <x v="2"/>
    <n v="70.763000000000005"/>
    <x v="2"/>
  </r>
  <r>
    <n v="10482"/>
    <s v="Lazy K Kountry Store"/>
    <s v="Davolio, Nancy"/>
    <x v="186"/>
    <x v="137"/>
    <x v="0"/>
    <n v="8.2279999999999998"/>
    <x v="8"/>
  </r>
  <r>
    <n v="10483"/>
    <s v="White Clover Markets"/>
    <s v="King, Robert"/>
    <x v="187"/>
    <x v="138"/>
    <x v="2"/>
    <n v="16.808"/>
    <x v="8"/>
  </r>
  <r>
    <n v="10484"/>
    <s v="B's Beverages"/>
    <s v="Leverling, Janet"/>
    <x v="187"/>
    <x v="139"/>
    <x v="0"/>
    <n v="7.5679999999999996"/>
    <x v="13"/>
  </r>
  <r>
    <n v="10485"/>
    <s v="LINO-Delicateses"/>
    <s v="Peacock, Margaret"/>
    <x v="188"/>
    <x v="140"/>
    <x v="2"/>
    <n v="70.894999999999996"/>
    <x v="5"/>
  </r>
  <r>
    <n v="10486"/>
    <s v="HILARIÓN-Abastos"/>
    <s v="Davolio, Nancy"/>
    <x v="189"/>
    <x v="141"/>
    <x v="2"/>
    <n v="33.582999999999998"/>
    <x v="5"/>
  </r>
  <r>
    <n v="10487"/>
    <s v="Queen Cozinha"/>
    <s v="Fuller, Andrew"/>
    <x v="189"/>
    <x v="142"/>
    <x v="2"/>
    <n v="78.177000000000007"/>
    <x v="2"/>
  </r>
  <r>
    <n v="10488"/>
    <s v="Frankenversand"/>
    <s v="Callahan, Laura"/>
    <x v="190"/>
    <x v="141"/>
    <x v="2"/>
    <n v="5.423"/>
    <x v="1"/>
  </r>
  <r>
    <n v="10489"/>
    <s v="Piccolo und mehr"/>
    <s v="Suyama, Michael"/>
    <x v="191"/>
    <x v="143"/>
    <x v="2"/>
    <n v="5.819"/>
    <x v="6"/>
  </r>
  <r>
    <n v="10490"/>
    <s v="HILARIÓN-Abastos"/>
    <s v="King, Robert"/>
    <x v="192"/>
    <x v="144"/>
    <x v="2"/>
    <n v="231.209"/>
    <x v="5"/>
  </r>
  <r>
    <n v="10491"/>
    <s v="Furia Bacalhau e Frutos do Mar"/>
    <s v="Callahan, Laura"/>
    <x v="192"/>
    <x v="145"/>
    <x v="0"/>
    <n v="18.655999999999999"/>
    <x v="15"/>
  </r>
  <r>
    <n v="10492"/>
    <s v="Bottom-Dollar Markets"/>
    <s v="Leverling, Janet"/>
    <x v="193"/>
    <x v="146"/>
    <x v="1"/>
    <n v="69.179000000000002"/>
    <x v="16"/>
  </r>
  <r>
    <n v="10493"/>
    <s v="La maison d'Asie"/>
    <s v="Peacock, Margaret"/>
    <x v="194"/>
    <x v="137"/>
    <x v="0"/>
    <n v="11.704000000000001"/>
    <x v="0"/>
  </r>
  <r>
    <n v="10494"/>
    <s v="Comércio Mineiro"/>
    <s v="Peacock, Margaret"/>
    <x v="194"/>
    <x v="143"/>
    <x v="2"/>
    <n v="72.588999999999999"/>
    <x v="2"/>
  </r>
  <r>
    <n v="10495"/>
    <s v="Laughing Bacchus Wine Cellars"/>
    <s v="Leverling, Janet"/>
    <x v="195"/>
    <x v="146"/>
    <x v="0"/>
    <n v="5.1150000000000002"/>
    <x v="16"/>
  </r>
  <r>
    <n v="10496"/>
    <s v="Tradição Hipermercados"/>
    <s v="King, Robert"/>
    <x v="196"/>
    <x v="147"/>
    <x v="2"/>
    <n v="51.447000000000003"/>
    <x v="2"/>
  </r>
  <r>
    <n v="10497"/>
    <s v="Lehmanns Marktstand"/>
    <s v="King, Robert"/>
    <x v="196"/>
    <x v="147"/>
    <x v="1"/>
    <n v="39.831000000000003"/>
    <x v="1"/>
  </r>
  <r>
    <n v="10498"/>
    <s v="HILARIÓN-Abastos"/>
    <s v="Callahan, Laura"/>
    <x v="197"/>
    <x v="146"/>
    <x v="2"/>
    <n v="32.725000000000001"/>
    <x v="5"/>
  </r>
  <r>
    <n v="10499"/>
    <s v="LILA-Supermercado"/>
    <s v="Peacock, Margaret"/>
    <x v="198"/>
    <x v="148"/>
    <x v="2"/>
    <n v="112.22199999999999"/>
    <x v="5"/>
  </r>
  <r>
    <n v="10500"/>
    <s v="La maison d'Asie"/>
    <s v="Suyama, Michael"/>
    <x v="199"/>
    <x v="149"/>
    <x v="1"/>
    <n v="46.948"/>
    <x v="0"/>
  </r>
  <r>
    <n v="10501"/>
    <s v="Blauer See Delikatessen"/>
    <s v="Dodsworth, Anne"/>
    <x v="199"/>
    <x v="148"/>
    <x v="0"/>
    <n v="9.7349999999999994"/>
    <x v="1"/>
  </r>
  <r>
    <n v="10502"/>
    <s v="Pericles Comidas clásicas"/>
    <s v="Fuller, Andrew"/>
    <x v="200"/>
    <x v="150"/>
    <x v="1"/>
    <n v="76.251999999999995"/>
    <x v="7"/>
  </r>
  <r>
    <n v="10503"/>
    <s v="Hungry Owl All-Night Grocers"/>
    <s v="Suyama, Michael"/>
    <x v="201"/>
    <x v="148"/>
    <x v="2"/>
    <n v="18.414000000000001"/>
    <x v="14"/>
  </r>
  <r>
    <n v="10504"/>
    <s v="White Clover Markets"/>
    <s v="Peacock, Margaret"/>
    <x v="201"/>
    <x v="151"/>
    <x v="0"/>
    <n v="65.043000000000006"/>
    <x v="8"/>
  </r>
  <r>
    <n v="10505"/>
    <s v="Mère Paillarde"/>
    <s v="Leverling, Janet"/>
    <x v="202"/>
    <x v="152"/>
    <x v="0"/>
    <n v="7.843"/>
    <x v="16"/>
  </r>
  <r>
    <n v="10506"/>
    <s v="Königlich Essen"/>
    <s v="Dodsworth, Anne"/>
    <x v="203"/>
    <x v="153"/>
    <x v="2"/>
    <n v="23.309000000000001"/>
    <x v="1"/>
  </r>
  <r>
    <n v="10507"/>
    <s v="Antonio Moreno Taquería"/>
    <s v="King, Robert"/>
    <x v="203"/>
    <x v="154"/>
    <x v="1"/>
    <n v="52.195"/>
    <x v="7"/>
  </r>
  <r>
    <n v="10508"/>
    <s v="Ottilies Käseladen"/>
    <s v="Davolio, Nancy"/>
    <x v="204"/>
    <x v="155"/>
    <x v="2"/>
    <n v="5.4889999999999999"/>
    <x v="1"/>
  </r>
  <r>
    <n v="10509"/>
    <s v="Blauer See Delikatessen"/>
    <s v="Peacock, Margaret"/>
    <x v="205"/>
    <x v="150"/>
    <x v="1"/>
    <n v="0.16500000000000001"/>
    <x v="1"/>
  </r>
  <r>
    <n v="10510"/>
    <s v="Save-a-lot Markets"/>
    <s v="Suyama, Michael"/>
    <x v="206"/>
    <x v="156"/>
    <x v="0"/>
    <n v="404.39299999999997"/>
    <x v="8"/>
  </r>
  <r>
    <n v="10511"/>
    <s v="Bon app'"/>
    <s v="Peacock, Margaret"/>
    <x v="206"/>
    <x v="152"/>
    <x v="0"/>
    <n v="385.70400000000001"/>
    <x v="0"/>
  </r>
  <r>
    <n v="10512"/>
    <s v="Familia Arquibaldo"/>
    <s v="King, Robert"/>
    <x v="207"/>
    <x v="157"/>
    <x v="2"/>
    <n v="3.883"/>
    <x v="2"/>
  </r>
  <r>
    <n v="10513"/>
    <s v="Die Wandernde Kuh"/>
    <s v="King, Robert"/>
    <x v="208"/>
    <x v="156"/>
    <x v="1"/>
    <n v="116.215"/>
    <x v="1"/>
  </r>
  <r>
    <n v="10514"/>
    <s v="Ernst Handel"/>
    <s v="Leverling, Janet"/>
    <x v="208"/>
    <x v="158"/>
    <x v="2"/>
    <n v="868.94500000000005"/>
    <x v="6"/>
  </r>
  <r>
    <n v="10515"/>
    <s v="QUICK-Stop"/>
    <s v="Fuller, Andrew"/>
    <x v="209"/>
    <x v="159"/>
    <x v="1"/>
    <n v="224.917"/>
    <x v="1"/>
  </r>
  <r>
    <n v="10516"/>
    <s v="Hungry Owl All-Night Grocers"/>
    <s v="Fuller, Andrew"/>
    <x v="210"/>
    <x v="160"/>
    <x v="0"/>
    <n v="69.058000000000007"/>
    <x v="14"/>
  </r>
  <r>
    <n v="10517"/>
    <s v="North/South"/>
    <s v="Leverling, Janet"/>
    <x v="210"/>
    <x v="150"/>
    <x v="0"/>
    <n v="35.277000000000001"/>
    <x v="13"/>
  </r>
  <r>
    <n v="10518"/>
    <s v="Tortuga Restaurante"/>
    <s v="Peacock, Margaret"/>
    <x v="211"/>
    <x v="161"/>
    <x v="2"/>
    <n v="239.965"/>
    <x v="7"/>
  </r>
  <r>
    <n v="10519"/>
    <s v="Chop-suey Chinese"/>
    <s v="Suyama, Michael"/>
    <x v="212"/>
    <x v="160"/>
    <x v="0"/>
    <n v="100.93600000000001"/>
    <x v="4"/>
  </r>
  <r>
    <n v="10520"/>
    <s v="Santé Gourmet"/>
    <s v="King, Robert"/>
    <x v="213"/>
    <x v="160"/>
    <x v="1"/>
    <n v="14.707000000000001"/>
    <x v="19"/>
  </r>
  <r>
    <n v="10521"/>
    <s v="Cactus Comidas para llevar"/>
    <s v="Callahan, Laura"/>
    <x v="213"/>
    <x v="153"/>
    <x v="2"/>
    <n v="18.942"/>
    <x v="20"/>
  </r>
  <r>
    <n v="10522"/>
    <s v="Lehmanns Marktstand"/>
    <s v="Peacock, Margaret"/>
    <x v="214"/>
    <x v="162"/>
    <x v="1"/>
    <n v="49.863"/>
    <x v="1"/>
  </r>
  <r>
    <n v="10523"/>
    <s v="Seven Seas Imports"/>
    <s v="King, Robert"/>
    <x v="215"/>
    <x v="163"/>
    <x v="2"/>
    <n v="85.393000000000001"/>
    <x v="13"/>
  </r>
  <r>
    <n v="10524"/>
    <s v="Berglunds snabbköp"/>
    <s v="Davolio, Nancy"/>
    <x v="215"/>
    <x v="164"/>
    <x v="2"/>
    <n v="269.26900000000001"/>
    <x v="9"/>
  </r>
  <r>
    <n v="10525"/>
    <s v="Bon app'"/>
    <s v="Davolio, Nancy"/>
    <x v="216"/>
    <x v="159"/>
    <x v="2"/>
    <n v="12.166"/>
    <x v="0"/>
  </r>
  <r>
    <n v="10526"/>
    <s v="Wartian Herkku"/>
    <s v="Peacock, Margaret"/>
    <x v="217"/>
    <x v="165"/>
    <x v="2"/>
    <n v="64.448999999999998"/>
    <x v="10"/>
  </r>
  <r>
    <n v="10527"/>
    <s v="QUICK-Stop"/>
    <s v="King, Robert"/>
    <x v="217"/>
    <x v="164"/>
    <x v="1"/>
    <n v="46.09"/>
    <x v="1"/>
  </r>
  <r>
    <n v="10528"/>
    <s v="Great Lakes Food Market"/>
    <s v="Suyama, Michael"/>
    <x v="218"/>
    <x v="166"/>
    <x v="2"/>
    <n v="3.6850000000000001"/>
    <x v="8"/>
  </r>
  <r>
    <n v="10529"/>
    <s v="Maison Dewey"/>
    <s v="Buchanan, Steven"/>
    <x v="219"/>
    <x v="166"/>
    <x v="2"/>
    <n v="73.358999999999995"/>
    <x v="3"/>
  </r>
  <r>
    <n v="10530"/>
    <s v="Piccolo und mehr"/>
    <s v="Leverling, Janet"/>
    <x v="220"/>
    <x v="167"/>
    <x v="2"/>
    <n v="373.142"/>
    <x v="6"/>
  </r>
  <r>
    <n v="10531"/>
    <s v="Océano Atlántico Ltda."/>
    <s v="King, Robert"/>
    <x v="220"/>
    <x v="168"/>
    <x v="1"/>
    <n v="8.9320000000000004"/>
    <x v="20"/>
  </r>
  <r>
    <n v="10532"/>
    <s v="Eastern Connection"/>
    <s v="King, Robert"/>
    <x v="221"/>
    <x v="167"/>
    <x v="0"/>
    <n v="81.906000000000006"/>
    <x v="13"/>
  </r>
  <r>
    <n v="10533"/>
    <s v="Folk och fä HB"/>
    <s v="Callahan, Laura"/>
    <x v="222"/>
    <x v="169"/>
    <x v="1"/>
    <n v="206.84399999999999"/>
    <x v="9"/>
  </r>
  <r>
    <n v="10534"/>
    <s v="Lehmanns Marktstand"/>
    <s v="Callahan, Laura"/>
    <x v="222"/>
    <x v="170"/>
    <x v="2"/>
    <n v="30.734000000000002"/>
    <x v="1"/>
  </r>
  <r>
    <n v="10535"/>
    <s v="Antonio Moreno Taquería"/>
    <s v="Peacock, Margaret"/>
    <x v="223"/>
    <x v="171"/>
    <x v="1"/>
    <n v="17.204000000000001"/>
    <x v="7"/>
  </r>
  <r>
    <n v="10536"/>
    <s v="Lehmanns Marktstand"/>
    <s v="Leverling, Janet"/>
    <x v="224"/>
    <x v="172"/>
    <x v="2"/>
    <n v="64.768000000000001"/>
    <x v="1"/>
  </r>
  <r>
    <n v="10537"/>
    <s v="Richter Supermarkt"/>
    <s v="Davolio, Nancy"/>
    <x v="224"/>
    <x v="168"/>
    <x v="1"/>
    <n v="86.734999999999999"/>
    <x v="4"/>
  </r>
  <r>
    <n v="10538"/>
    <s v="B's Beverages"/>
    <s v="Dodsworth, Anne"/>
    <x v="225"/>
    <x v="158"/>
    <x v="0"/>
    <n v="5.3570000000000002"/>
    <x v="13"/>
  </r>
  <r>
    <n v="10539"/>
    <s v="B's Beverages"/>
    <s v="Suyama, Michael"/>
    <x v="226"/>
    <x v="159"/>
    <x v="0"/>
    <n v="13.596"/>
    <x v="13"/>
  </r>
  <r>
    <n v="10540"/>
    <s v="QUICK-Stop"/>
    <s v="Leverling, Janet"/>
    <x v="227"/>
    <x v="173"/>
    <x v="0"/>
    <n v="1108.404"/>
    <x v="1"/>
  </r>
  <r>
    <n v="10541"/>
    <s v="Hanari Carnes"/>
    <s v="Fuller, Andrew"/>
    <x v="227"/>
    <x v="174"/>
    <x v="1"/>
    <n v="75.515000000000001"/>
    <x v="2"/>
  </r>
  <r>
    <n v="10542"/>
    <s v="Königlich Essen"/>
    <s v="Davolio, Nancy"/>
    <x v="228"/>
    <x v="175"/>
    <x v="0"/>
    <n v="12.045"/>
    <x v="1"/>
  </r>
  <r>
    <n v="10543"/>
    <s v="LILA-Supermercado"/>
    <s v="Callahan, Laura"/>
    <x v="229"/>
    <x v="159"/>
    <x v="2"/>
    <n v="52.987000000000002"/>
    <x v="5"/>
  </r>
  <r>
    <n v="10544"/>
    <s v="Lonesome Pine Restaurant"/>
    <s v="Peacock, Margaret"/>
    <x v="229"/>
    <x v="163"/>
    <x v="1"/>
    <n v="27.401"/>
    <x v="8"/>
  </r>
  <r>
    <n v="10545"/>
    <s v="Lazy K Kountry Store"/>
    <s v="Callahan, Laura"/>
    <x v="230"/>
    <x v="176"/>
    <x v="2"/>
    <n v="13.112"/>
    <x v="8"/>
  </r>
  <r>
    <n v="10546"/>
    <s v="Victuailles en stock"/>
    <s v="Davolio, Nancy"/>
    <x v="231"/>
    <x v="177"/>
    <x v="0"/>
    <n v="214.19200000000001"/>
    <x v="0"/>
  </r>
  <r>
    <n v="10547"/>
    <s v="Seven Seas Imports"/>
    <s v="Leverling, Janet"/>
    <x v="231"/>
    <x v="178"/>
    <x v="2"/>
    <n v="196.273"/>
    <x v="13"/>
  </r>
  <r>
    <n v="10548"/>
    <s v="Toms Spezialitäten"/>
    <s v="Leverling, Janet"/>
    <x v="232"/>
    <x v="178"/>
    <x v="2"/>
    <n v="1.573"/>
    <x v="1"/>
  </r>
  <r>
    <n v="10549"/>
    <s v="QUICK-Stop"/>
    <s v="Buchanan, Steven"/>
    <x v="233"/>
    <x v="163"/>
    <x v="1"/>
    <n v="188.364"/>
    <x v="1"/>
  </r>
  <r>
    <n v="10550"/>
    <s v="Godos Cocina Típica"/>
    <s v="King, Robert"/>
    <x v="234"/>
    <x v="172"/>
    <x v="0"/>
    <n v="4.7519999999999998"/>
    <x v="12"/>
  </r>
  <r>
    <n v="10551"/>
    <s v="Furia Bacalhau e Frutos do Mar"/>
    <s v="Peacock, Margaret"/>
    <x v="234"/>
    <x v="172"/>
    <x v="0"/>
    <n v="80.245000000000005"/>
    <x v="15"/>
  </r>
  <r>
    <n v="10552"/>
    <s v="HILARIÓN-Abastos"/>
    <s v="Fuller, Andrew"/>
    <x v="235"/>
    <x v="179"/>
    <x v="1"/>
    <n v="91.542000000000002"/>
    <x v="5"/>
  </r>
  <r>
    <n v="10553"/>
    <s v="Wartian Herkku"/>
    <s v="Fuller, Andrew"/>
    <x v="236"/>
    <x v="180"/>
    <x v="2"/>
    <n v="164.43899999999999"/>
    <x v="10"/>
  </r>
  <r>
    <n v="10554"/>
    <s v="Ottilies Käseladen"/>
    <s v="Peacock, Margaret"/>
    <x v="236"/>
    <x v="179"/>
    <x v="0"/>
    <n v="133.06700000000001"/>
    <x v="1"/>
  </r>
  <r>
    <n v="10555"/>
    <s v="Save-a-lot Markets"/>
    <s v="Suyama, Michael"/>
    <x v="237"/>
    <x v="181"/>
    <x v="0"/>
    <n v="277.73899999999998"/>
    <x v="8"/>
  </r>
  <r>
    <n v="10556"/>
    <s v="Simons bistro"/>
    <s v="Fuller, Andrew"/>
    <x v="238"/>
    <x v="173"/>
    <x v="1"/>
    <n v="10.78"/>
    <x v="17"/>
  </r>
  <r>
    <n v="10557"/>
    <s v="Lehmanns Marktstand"/>
    <s v="Dodsworth, Anne"/>
    <x v="238"/>
    <x v="172"/>
    <x v="2"/>
    <n v="106.392"/>
    <x v="1"/>
  </r>
  <r>
    <n v="10558"/>
    <s v="Around the Horn"/>
    <s v="Davolio, Nancy"/>
    <x v="239"/>
    <x v="182"/>
    <x v="2"/>
    <n v="80.266999999999996"/>
    <x v="13"/>
  </r>
  <r>
    <n v="10559"/>
    <s v="Blondel père et fils"/>
    <s v="Suyama, Michael"/>
    <x v="240"/>
    <x v="173"/>
    <x v="1"/>
    <n v="8.8550000000000004"/>
    <x v="0"/>
  </r>
  <r>
    <n v="10560"/>
    <s v="Frankenversand"/>
    <s v="Callahan, Laura"/>
    <x v="241"/>
    <x v="183"/>
    <x v="1"/>
    <n v="40.314999999999998"/>
    <x v="1"/>
  </r>
  <r>
    <n v="10561"/>
    <s v="Folk och fä HB"/>
    <s v="Fuller, Andrew"/>
    <x v="241"/>
    <x v="183"/>
    <x v="2"/>
    <n v="266.43099999999998"/>
    <x v="9"/>
  </r>
  <r>
    <n v="10562"/>
    <s v="Reggiani Caseifici"/>
    <s v="Davolio, Nancy"/>
    <x v="242"/>
    <x v="184"/>
    <x v="1"/>
    <n v="25.245000000000001"/>
    <x v="11"/>
  </r>
  <r>
    <n v="10563"/>
    <s v="Ricardo Adocicados"/>
    <s v="Fuller, Andrew"/>
    <x v="243"/>
    <x v="185"/>
    <x v="2"/>
    <n v="66.472999999999999"/>
    <x v="2"/>
  </r>
  <r>
    <n v="10564"/>
    <s v="Rattlesnake Canyon Grocery"/>
    <s v="Peacock, Margaret"/>
    <x v="243"/>
    <x v="186"/>
    <x v="0"/>
    <n v="15.125"/>
    <x v="8"/>
  </r>
  <r>
    <n v="10565"/>
    <s v="Mère Paillarde"/>
    <s v="Callahan, Laura"/>
    <x v="244"/>
    <x v="187"/>
    <x v="2"/>
    <n v="7.8650000000000002"/>
    <x v="16"/>
  </r>
  <r>
    <n v="10566"/>
    <s v="Blondel père et fils"/>
    <s v="Dodsworth, Anne"/>
    <x v="245"/>
    <x v="187"/>
    <x v="1"/>
    <n v="97.24"/>
    <x v="0"/>
  </r>
  <r>
    <n v="10567"/>
    <s v="Hungry Owl All-Night Grocers"/>
    <s v="Davolio, Nancy"/>
    <x v="245"/>
    <x v="188"/>
    <x v="1"/>
    <n v="37.366999999999997"/>
    <x v="14"/>
  </r>
  <r>
    <n v="10568"/>
    <s v="Galería del gastrónomo"/>
    <s v="Leverling, Janet"/>
    <x v="246"/>
    <x v="189"/>
    <x v="0"/>
    <n v="7.194"/>
    <x v="12"/>
  </r>
  <r>
    <n v="10569"/>
    <s v="Rattlesnake Canyon Grocery"/>
    <s v="Buchanan, Steven"/>
    <x v="247"/>
    <x v="190"/>
    <x v="1"/>
    <n v="64.878"/>
    <x v="8"/>
  </r>
  <r>
    <n v="10570"/>
    <s v="Mère Paillarde"/>
    <s v="Leverling, Janet"/>
    <x v="248"/>
    <x v="191"/>
    <x v="0"/>
    <n v="207.88900000000001"/>
    <x v="16"/>
  </r>
  <r>
    <n v="10571"/>
    <s v="Ernst Handel"/>
    <s v="Callahan, Laura"/>
    <x v="248"/>
    <x v="192"/>
    <x v="0"/>
    <n v="28.666"/>
    <x v="6"/>
  </r>
  <r>
    <n v="10572"/>
    <s v="Berglunds snabbköp"/>
    <s v="Leverling, Janet"/>
    <x v="249"/>
    <x v="193"/>
    <x v="2"/>
    <n v="128.07300000000001"/>
    <x v="9"/>
  </r>
  <r>
    <n v="10573"/>
    <s v="Antonio Moreno Taquería"/>
    <s v="King, Robert"/>
    <x v="250"/>
    <x v="194"/>
    <x v="0"/>
    <n v="93.323999999999998"/>
    <x v="7"/>
  </r>
  <r>
    <n v="10574"/>
    <s v="Trail's Head Gourmet Provisioners"/>
    <s v="Peacock, Margaret"/>
    <x v="250"/>
    <x v="195"/>
    <x v="2"/>
    <n v="41.36"/>
    <x v="8"/>
  </r>
  <r>
    <n v="10575"/>
    <s v="Morgenstern Gesundkost"/>
    <s v="Buchanan, Steven"/>
    <x v="251"/>
    <x v="195"/>
    <x v="1"/>
    <n v="140.07400000000001"/>
    <x v="1"/>
  </r>
  <r>
    <n v="10576"/>
    <s v="Tortuga Restaurante"/>
    <s v="Leverling, Janet"/>
    <x v="252"/>
    <x v="195"/>
    <x v="0"/>
    <n v="20.416"/>
    <x v="7"/>
  </r>
  <r>
    <n v="10577"/>
    <s v="Trail's Head Gourmet Provisioners"/>
    <s v="Dodsworth, Anne"/>
    <x v="252"/>
    <x v="195"/>
    <x v="2"/>
    <n v="27.951000000000001"/>
    <x v="8"/>
  </r>
  <r>
    <n v="10578"/>
    <s v="B's Beverages"/>
    <s v="Peacock, Margaret"/>
    <x v="253"/>
    <x v="196"/>
    <x v="0"/>
    <n v="32.56"/>
    <x v="13"/>
  </r>
  <r>
    <n v="10579"/>
    <s v="Let's Stop N Shop"/>
    <s v="Davolio, Nancy"/>
    <x v="254"/>
    <x v="192"/>
    <x v="2"/>
    <n v="15.103"/>
    <x v="8"/>
  </r>
  <r>
    <n v="10580"/>
    <s v="Ottilies Käseladen"/>
    <s v="Peacock, Margaret"/>
    <x v="255"/>
    <x v="197"/>
    <x v="0"/>
    <n v="83.478999999999999"/>
    <x v="1"/>
  </r>
  <r>
    <n v="10581"/>
    <s v="Familia Arquibaldo"/>
    <s v="Leverling, Janet"/>
    <x v="255"/>
    <x v="198"/>
    <x v="1"/>
    <n v="3.3109999999999999"/>
    <x v="2"/>
  </r>
  <r>
    <n v="10582"/>
    <s v="Blauer See Delikatessen"/>
    <s v="Leverling, Janet"/>
    <x v="256"/>
    <x v="199"/>
    <x v="2"/>
    <n v="30.481000000000002"/>
    <x v="1"/>
  </r>
  <r>
    <n v="10583"/>
    <s v="Wartian Herkku"/>
    <s v="Fuller, Andrew"/>
    <x v="257"/>
    <x v="192"/>
    <x v="2"/>
    <n v="8.0079999999999991"/>
    <x v="10"/>
  </r>
  <r>
    <n v="10584"/>
    <s v="Blondel père et fils"/>
    <s v="Peacock, Margaret"/>
    <x v="257"/>
    <x v="192"/>
    <x v="1"/>
    <n v="65.054000000000002"/>
    <x v="0"/>
  </r>
  <r>
    <n v="10585"/>
    <s v="Wellington Importadora"/>
    <s v="King, Robert"/>
    <x v="258"/>
    <x v="200"/>
    <x v="1"/>
    <n v="14.750999999999999"/>
    <x v="2"/>
  </r>
  <r>
    <n v="10586"/>
    <s v="Reggiani Caseifici"/>
    <s v="Dodsworth, Anne"/>
    <x v="259"/>
    <x v="189"/>
    <x v="1"/>
    <n v="0.52800000000000002"/>
    <x v="11"/>
  </r>
  <r>
    <n v="10587"/>
    <s v="Que Delícia"/>
    <s v="Davolio, Nancy"/>
    <x v="259"/>
    <x v="189"/>
    <x v="1"/>
    <n v="68.772000000000006"/>
    <x v="2"/>
  </r>
  <r>
    <n v="10588"/>
    <s v="QUICK-Stop"/>
    <s v="Fuller, Andrew"/>
    <x v="260"/>
    <x v="200"/>
    <x v="0"/>
    <n v="214.137"/>
    <x v="1"/>
  </r>
  <r>
    <n v="10589"/>
    <s v="Great Lakes Food Market"/>
    <s v="Callahan, Laura"/>
    <x v="261"/>
    <x v="199"/>
    <x v="2"/>
    <n v="4.8620000000000001"/>
    <x v="8"/>
  </r>
  <r>
    <n v="10590"/>
    <s v="Mère Paillarde"/>
    <s v="Peacock, Margaret"/>
    <x v="262"/>
    <x v="199"/>
    <x v="0"/>
    <n v="49.247"/>
    <x v="16"/>
  </r>
  <r>
    <n v="10591"/>
    <s v="Vaffeljernet"/>
    <s v="Davolio, Nancy"/>
    <x v="262"/>
    <x v="201"/>
    <x v="1"/>
    <n v="61.512"/>
    <x v="17"/>
  </r>
  <r>
    <n v="10592"/>
    <s v="Lehmanns Marktstand"/>
    <s v="Leverling, Janet"/>
    <x v="263"/>
    <x v="201"/>
    <x v="1"/>
    <n v="35.31"/>
    <x v="1"/>
  </r>
  <r>
    <n v="10593"/>
    <s v="Lehmanns Marktstand"/>
    <s v="King, Robert"/>
    <x v="264"/>
    <x v="202"/>
    <x v="2"/>
    <n v="191.62"/>
    <x v="1"/>
  </r>
  <r>
    <n v="10594"/>
    <s v="Old World Delicatessen"/>
    <s v="Leverling, Janet"/>
    <x v="264"/>
    <x v="201"/>
    <x v="2"/>
    <n v="5.7640000000000002"/>
    <x v="8"/>
  </r>
  <r>
    <n v="10595"/>
    <s v="Ernst Handel"/>
    <s v="Fuller, Andrew"/>
    <x v="265"/>
    <x v="199"/>
    <x v="1"/>
    <n v="106.458"/>
    <x v="6"/>
  </r>
  <r>
    <n v="10596"/>
    <s v="White Clover Markets"/>
    <s v="Callahan, Laura"/>
    <x v="266"/>
    <x v="203"/>
    <x v="1"/>
    <n v="17.974"/>
    <x v="8"/>
  </r>
  <r>
    <n v="10597"/>
    <s v="Piccolo und mehr"/>
    <s v="King, Robert"/>
    <x v="266"/>
    <x v="204"/>
    <x v="0"/>
    <n v="38.631999999999998"/>
    <x v="6"/>
  </r>
  <r>
    <n v="10598"/>
    <s v="Rattlesnake Canyon Grocery"/>
    <s v="Davolio, Nancy"/>
    <x v="267"/>
    <x v="204"/>
    <x v="0"/>
    <n v="48.862000000000002"/>
    <x v="8"/>
  </r>
  <r>
    <n v="10599"/>
    <s v="B's Beverages"/>
    <s v="Suyama, Michael"/>
    <x v="268"/>
    <x v="205"/>
    <x v="0"/>
    <n v="32.978000000000002"/>
    <x v="13"/>
  </r>
  <r>
    <n v="10600"/>
    <s v="Hungry Coyote Import Store"/>
    <s v="Peacock, Margaret"/>
    <x v="269"/>
    <x v="205"/>
    <x v="1"/>
    <n v="49.643000000000001"/>
    <x v="8"/>
  </r>
  <r>
    <n v="10601"/>
    <s v="HILARIÓN-Abastos"/>
    <s v="King, Robert"/>
    <x v="269"/>
    <x v="206"/>
    <x v="1"/>
    <n v="64.13"/>
    <x v="5"/>
  </r>
  <r>
    <n v="10602"/>
    <s v="Vaffeljernet"/>
    <s v="Callahan, Laura"/>
    <x v="270"/>
    <x v="206"/>
    <x v="2"/>
    <n v="3.2120000000000002"/>
    <x v="17"/>
  </r>
  <r>
    <n v="10603"/>
    <s v="Save-a-lot Markets"/>
    <s v="Callahan, Laura"/>
    <x v="271"/>
    <x v="207"/>
    <x v="2"/>
    <n v="53.646999999999998"/>
    <x v="8"/>
  </r>
  <r>
    <n v="10604"/>
    <s v="Furia Bacalhau e Frutos do Mar"/>
    <s v="Davolio, Nancy"/>
    <x v="271"/>
    <x v="208"/>
    <x v="1"/>
    <n v="8.2059999999999995"/>
    <x v="15"/>
  </r>
  <r>
    <n v="10605"/>
    <s v="Mère Paillarde"/>
    <s v="Davolio, Nancy"/>
    <x v="272"/>
    <x v="208"/>
    <x v="2"/>
    <n v="417.04300000000001"/>
    <x v="16"/>
  </r>
  <r>
    <n v="10606"/>
    <s v="Tradição Hipermercados"/>
    <s v="Peacock, Margaret"/>
    <x v="273"/>
    <x v="209"/>
    <x v="0"/>
    <n v="87.34"/>
    <x v="2"/>
  </r>
  <r>
    <n v="10607"/>
    <s v="Save-a-lot Markets"/>
    <s v="Buchanan, Steven"/>
    <x v="273"/>
    <x v="196"/>
    <x v="1"/>
    <n v="220.26400000000001"/>
    <x v="8"/>
  </r>
  <r>
    <n v="10608"/>
    <s v="Toms Spezialitäten"/>
    <s v="Peacock, Margaret"/>
    <x v="274"/>
    <x v="210"/>
    <x v="2"/>
    <n v="30.568999999999999"/>
    <x v="1"/>
  </r>
  <r>
    <n v="10609"/>
    <s v="Du monde entier"/>
    <s v="King, Robert"/>
    <x v="275"/>
    <x v="211"/>
    <x v="2"/>
    <n v="2.0350000000000001"/>
    <x v="0"/>
  </r>
  <r>
    <n v="10610"/>
    <s v="La maison d'Asie"/>
    <s v="Callahan, Laura"/>
    <x v="276"/>
    <x v="212"/>
    <x v="1"/>
    <n v="29.457999999999998"/>
    <x v="0"/>
  </r>
  <r>
    <n v="10611"/>
    <s v="Wolski  Zajazd"/>
    <s v="Suyama, Michael"/>
    <x v="276"/>
    <x v="210"/>
    <x v="2"/>
    <n v="88.715000000000003"/>
    <x v="18"/>
  </r>
  <r>
    <n v="10612"/>
    <s v="Save-a-lot Markets"/>
    <s v="Davolio, Nancy"/>
    <x v="277"/>
    <x v="210"/>
    <x v="2"/>
    <n v="598.48800000000006"/>
    <x v="8"/>
  </r>
  <r>
    <n v="10613"/>
    <s v="HILARIÓN-Abastos"/>
    <s v="Peacock, Margaret"/>
    <x v="278"/>
    <x v="210"/>
    <x v="2"/>
    <n v="8.9209999999999994"/>
    <x v="5"/>
  </r>
  <r>
    <n v="10614"/>
    <s v="Blauer See Delikatessen"/>
    <s v="Callahan, Laura"/>
    <x v="278"/>
    <x v="210"/>
    <x v="0"/>
    <n v="2.1230000000000002"/>
    <x v="1"/>
  </r>
  <r>
    <n v="10615"/>
    <s v="Wilman Kala"/>
    <s v="Fuller, Andrew"/>
    <x v="279"/>
    <x v="212"/>
    <x v="0"/>
    <n v="0.82499999999999996"/>
    <x v="10"/>
  </r>
  <r>
    <n v="10616"/>
    <s v="Great Lakes Food Market"/>
    <s v="Davolio, Nancy"/>
    <x v="280"/>
    <x v="213"/>
    <x v="2"/>
    <n v="128.18299999999999"/>
    <x v="8"/>
  </r>
  <r>
    <n v="10617"/>
    <s v="Great Lakes Food Market"/>
    <s v="Peacock, Margaret"/>
    <x v="280"/>
    <x v="214"/>
    <x v="2"/>
    <n v="20.382999999999999"/>
    <x v="8"/>
  </r>
  <r>
    <n v="10618"/>
    <s v="Mère Paillarde"/>
    <s v="Davolio, Nancy"/>
    <x v="281"/>
    <x v="207"/>
    <x v="1"/>
    <n v="170.148"/>
    <x v="16"/>
  </r>
  <r>
    <n v="10619"/>
    <s v="Mère Paillarde"/>
    <s v="Leverling, Janet"/>
    <x v="282"/>
    <x v="215"/>
    <x v="0"/>
    <n v="100.155"/>
    <x v="16"/>
  </r>
  <r>
    <n v="10620"/>
    <s v="Laughing Bacchus Wine Cellars"/>
    <s v="Fuller, Andrew"/>
    <x v="283"/>
    <x v="216"/>
    <x v="0"/>
    <n v="1.034"/>
    <x v="16"/>
  </r>
  <r>
    <n v="10621"/>
    <s v="Island Trading"/>
    <s v="Peacock, Margaret"/>
    <x v="283"/>
    <x v="217"/>
    <x v="2"/>
    <n v="26.103000000000002"/>
    <x v="13"/>
  </r>
  <r>
    <n v="10622"/>
    <s v="Ricardo Adocicados"/>
    <s v="Peacock, Margaret"/>
    <x v="284"/>
    <x v="217"/>
    <x v="0"/>
    <n v="56.067"/>
    <x v="2"/>
  </r>
  <r>
    <n v="10623"/>
    <s v="Frankenversand"/>
    <s v="Callahan, Laura"/>
    <x v="285"/>
    <x v="203"/>
    <x v="2"/>
    <n v="106.898"/>
    <x v="1"/>
  </r>
  <r>
    <n v="10624"/>
    <s v="The Cracker Box"/>
    <s v="Peacock, Margaret"/>
    <x v="285"/>
    <x v="218"/>
    <x v="2"/>
    <n v="104.28"/>
    <x v="8"/>
  </r>
  <r>
    <n v="10625"/>
    <s v="Ana Trujillo Emparedados y helados"/>
    <s v="Leverling, Janet"/>
    <x v="286"/>
    <x v="216"/>
    <x v="1"/>
    <n v="48.29"/>
    <x v="7"/>
  </r>
  <r>
    <n v="10626"/>
    <s v="Berglunds snabbköp"/>
    <s v="Davolio, Nancy"/>
    <x v="287"/>
    <x v="219"/>
    <x v="2"/>
    <n v="152.559"/>
    <x v="9"/>
  </r>
  <r>
    <n v="10627"/>
    <s v="Save-a-lot Markets"/>
    <s v="Callahan, Laura"/>
    <x v="287"/>
    <x v="220"/>
    <x v="0"/>
    <n v="118.206"/>
    <x v="8"/>
  </r>
  <r>
    <n v="10628"/>
    <s v="Blondel père et fils"/>
    <s v="Peacock, Margaret"/>
    <x v="288"/>
    <x v="219"/>
    <x v="0"/>
    <n v="33.396000000000001"/>
    <x v="0"/>
  </r>
  <r>
    <n v="10629"/>
    <s v="Godos Cocina Típica"/>
    <s v="Peacock, Margaret"/>
    <x v="288"/>
    <x v="219"/>
    <x v="0"/>
    <n v="94.006"/>
    <x v="12"/>
  </r>
  <r>
    <n v="10630"/>
    <s v="Königlich Essen"/>
    <s v="Davolio, Nancy"/>
    <x v="289"/>
    <x v="218"/>
    <x v="2"/>
    <n v="35.585000000000001"/>
    <x v="1"/>
  </r>
  <r>
    <n v="10631"/>
    <s v="La maison d'Asie"/>
    <s v="Callahan, Laura"/>
    <x v="290"/>
    <x v="221"/>
    <x v="1"/>
    <n v="0.95699999999999996"/>
    <x v="0"/>
  </r>
  <r>
    <n v="10632"/>
    <s v="Die Wandernde Kuh"/>
    <s v="Callahan, Laura"/>
    <x v="290"/>
    <x v="218"/>
    <x v="1"/>
    <n v="45.518000000000001"/>
    <x v="1"/>
  </r>
  <r>
    <n v="10633"/>
    <s v="Ernst Handel"/>
    <s v="King, Robert"/>
    <x v="291"/>
    <x v="222"/>
    <x v="0"/>
    <n v="525.69000000000005"/>
    <x v="6"/>
  </r>
  <r>
    <n v="10634"/>
    <s v="Folies gourmandes"/>
    <s v="Peacock, Margaret"/>
    <x v="291"/>
    <x v="220"/>
    <x v="0"/>
    <n v="536.11800000000005"/>
    <x v="0"/>
  </r>
  <r>
    <n v="10635"/>
    <s v="Magazzini Alimentari Riuniti"/>
    <s v="Callahan, Laura"/>
    <x v="292"/>
    <x v="220"/>
    <x v="0"/>
    <n v="52.206000000000003"/>
    <x v="11"/>
  </r>
  <r>
    <n v="10636"/>
    <s v="Wartian Herkku"/>
    <s v="Peacock, Margaret"/>
    <x v="293"/>
    <x v="223"/>
    <x v="1"/>
    <n v="1.2649999999999999"/>
    <x v="10"/>
  </r>
  <r>
    <n v="10637"/>
    <s v="Queen Cozinha"/>
    <s v="Suyama, Michael"/>
    <x v="293"/>
    <x v="223"/>
    <x v="1"/>
    <n v="221.41900000000001"/>
    <x v="2"/>
  </r>
  <r>
    <n v="10638"/>
    <s v="LINO-Delicateses"/>
    <s v="Leverling, Janet"/>
    <x v="294"/>
    <x v="224"/>
    <x v="1"/>
    <n v="174.28399999999999"/>
    <x v="5"/>
  </r>
  <r>
    <n v="10639"/>
    <s v="Santé Gourmet"/>
    <s v="King, Robert"/>
    <x v="294"/>
    <x v="225"/>
    <x v="0"/>
    <n v="42.503999999999998"/>
    <x v="19"/>
  </r>
  <r>
    <n v="10640"/>
    <s v="Die Wandernde Kuh"/>
    <s v="Peacock, Margaret"/>
    <x v="295"/>
    <x v="226"/>
    <x v="1"/>
    <n v="25.905000000000001"/>
    <x v="1"/>
  </r>
  <r>
    <n v="10641"/>
    <s v="HILARIÓN-Abastos"/>
    <s v="Peacock, Margaret"/>
    <x v="296"/>
    <x v="223"/>
    <x v="2"/>
    <n v="197.571"/>
    <x v="5"/>
  </r>
  <r>
    <n v="10642"/>
    <s v="Simons bistro"/>
    <s v="King, Robert"/>
    <x v="296"/>
    <x v="227"/>
    <x v="0"/>
    <n v="46.079000000000001"/>
    <x v="17"/>
  </r>
  <r>
    <n v="10643"/>
    <s v="Alfreds Futterkiste"/>
    <s v="Suyama, Michael"/>
    <x v="297"/>
    <x v="228"/>
    <x v="1"/>
    <n v="32.405999999999999"/>
    <x v="1"/>
  </r>
  <r>
    <n v="10644"/>
    <s v="Wellington Importadora"/>
    <s v="Leverling, Janet"/>
    <x v="297"/>
    <x v="224"/>
    <x v="2"/>
    <n v="0.154"/>
    <x v="2"/>
  </r>
  <r>
    <n v="10645"/>
    <s v="Hanari Carnes"/>
    <s v="Peacock, Margaret"/>
    <x v="298"/>
    <x v="228"/>
    <x v="1"/>
    <n v="13.651"/>
    <x v="2"/>
  </r>
  <r>
    <n v="10646"/>
    <s v="Hungry Owl All-Night Grocers"/>
    <s v="Dodsworth, Anne"/>
    <x v="299"/>
    <x v="229"/>
    <x v="0"/>
    <n v="156.56299999999999"/>
    <x v="14"/>
  </r>
  <r>
    <n v="10647"/>
    <s v="Que Delícia"/>
    <s v="Peacock, Margaret"/>
    <x v="299"/>
    <x v="229"/>
    <x v="2"/>
    <n v="50.094000000000001"/>
    <x v="2"/>
  </r>
  <r>
    <n v="10648"/>
    <s v="Ricardo Adocicados"/>
    <s v="Buchanan, Steven"/>
    <x v="300"/>
    <x v="230"/>
    <x v="2"/>
    <n v="15.675000000000001"/>
    <x v="2"/>
  </r>
  <r>
    <n v="10649"/>
    <s v="Maison Dewey"/>
    <s v="Buchanan, Steven"/>
    <x v="300"/>
    <x v="231"/>
    <x v="0"/>
    <n v="6.82"/>
    <x v="3"/>
  </r>
  <r>
    <n v="10650"/>
    <s v="Familia Arquibaldo"/>
    <s v="Buchanan, Steven"/>
    <x v="301"/>
    <x v="229"/>
    <x v="0"/>
    <n v="194.49100000000001"/>
    <x v="2"/>
  </r>
  <r>
    <n v="10651"/>
    <s v="Die Wandernde Kuh"/>
    <s v="Callahan, Laura"/>
    <x v="302"/>
    <x v="232"/>
    <x v="2"/>
    <n v="22.66"/>
    <x v="1"/>
  </r>
  <r>
    <n v="10652"/>
    <s v="Gourmet Lanchonetes"/>
    <s v="Peacock, Margaret"/>
    <x v="302"/>
    <x v="233"/>
    <x v="2"/>
    <n v="7.8540000000000001"/>
    <x v="2"/>
  </r>
  <r>
    <n v="10653"/>
    <s v="Frankenversand"/>
    <s v="Davolio, Nancy"/>
    <x v="303"/>
    <x v="234"/>
    <x v="1"/>
    <n v="102.575"/>
    <x v="1"/>
  </r>
  <r>
    <n v="10654"/>
    <s v="Berglunds snabbköp"/>
    <s v="Buchanan, Steven"/>
    <x v="303"/>
    <x v="232"/>
    <x v="1"/>
    <n v="60.786000000000001"/>
    <x v="9"/>
  </r>
  <r>
    <n v="10655"/>
    <s v="Reggiani Caseifici"/>
    <s v="Davolio, Nancy"/>
    <x v="304"/>
    <x v="232"/>
    <x v="2"/>
    <n v="4.851"/>
    <x v="11"/>
  </r>
  <r>
    <n v="10656"/>
    <s v="Great Lakes Food Market"/>
    <s v="Suyama, Michael"/>
    <x v="305"/>
    <x v="235"/>
    <x v="1"/>
    <n v="62.865000000000002"/>
    <x v="8"/>
  </r>
  <r>
    <n v="10657"/>
    <s v="Save-a-lot Markets"/>
    <s v="Fuller, Andrew"/>
    <x v="305"/>
    <x v="236"/>
    <x v="2"/>
    <n v="387.959"/>
    <x v="8"/>
  </r>
  <r>
    <n v="10658"/>
    <s v="QUICK-Stop"/>
    <s v="Peacock, Margaret"/>
    <x v="306"/>
    <x v="233"/>
    <x v="1"/>
    <n v="400.565"/>
    <x v="1"/>
  </r>
  <r>
    <n v="10659"/>
    <s v="Queen Cozinha"/>
    <s v="King, Robert"/>
    <x v="306"/>
    <x v="235"/>
    <x v="2"/>
    <n v="116.39100000000001"/>
    <x v="2"/>
  </r>
  <r>
    <n v="10660"/>
    <s v="Hungry Coyote Import Store"/>
    <s v="Callahan, Laura"/>
    <x v="307"/>
    <x v="237"/>
    <x v="1"/>
    <n v="122.419"/>
    <x v="8"/>
  </r>
  <r>
    <n v="10661"/>
    <s v="Hungry Owl All-Night Grocers"/>
    <s v="King, Robert"/>
    <x v="308"/>
    <x v="236"/>
    <x v="0"/>
    <n v="19.305"/>
    <x v="14"/>
  </r>
  <r>
    <n v="10662"/>
    <s v="Lonesome Pine Restaurant"/>
    <s v="Leverling, Janet"/>
    <x v="308"/>
    <x v="238"/>
    <x v="2"/>
    <n v="1.4079999999999999"/>
    <x v="8"/>
  </r>
  <r>
    <n v="10663"/>
    <s v="Bon app'"/>
    <s v="Fuller, Andrew"/>
    <x v="309"/>
    <x v="239"/>
    <x v="2"/>
    <n v="124.465"/>
    <x v="0"/>
  </r>
  <r>
    <n v="10664"/>
    <s v="Furia Bacalhau e Frutos do Mar"/>
    <s v="Davolio, Nancy"/>
    <x v="309"/>
    <x v="234"/>
    <x v="0"/>
    <n v="1.397"/>
    <x v="15"/>
  </r>
  <r>
    <n v="10665"/>
    <s v="Lonesome Pine Restaurant"/>
    <s v="Davolio, Nancy"/>
    <x v="310"/>
    <x v="240"/>
    <x v="2"/>
    <n v="28.940999999999999"/>
    <x v="8"/>
  </r>
  <r>
    <n v="10666"/>
    <s v="Richter Supermarkt"/>
    <s v="King, Robert"/>
    <x v="311"/>
    <x v="241"/>
    <x v="2"/>
    <n v="255.66200000000001"/>
    <x v="4"/>
  </r>
  <r>
    <n v="10667"/>
    <s v="Ernst Handel"/>
    <s v="King, Robert"/>
    <x v="311"/>
    <x v="234"/>
    <x v="1"/>
    <n v="85.899000000000001"/>
    <x v="6"/>
  </r>
  <r>
    <n v="10668"/>
    <s v="Die Wandernde Kuh"/>
    <s v="Davolio, Nancy"/>
    <x v="312"/>
    <x v="242"/>
    <x v="2"/>
    <n v="51.942"/>
    <x v="1"/>
  </r>
  <r>
    <n v="10669"/>
    <s v="Simons bistro"/>
    <s v="Fuller, Andrew"/>
    <x v="312"/>
    <x v="241"/>
    <x v="1"/>
    <n v="26.829000000000001"/>
    <x v="17"/>
  </r>
  <r>
    <n v="10670"/>
    <s v="Frankenversand"/>
    <s v="Peacock, Margaret"/>
    <x v="313"/>
    <x v="238"/>
    <x v="1"/>
    <n v="223.828"/>
    <x v="1"/>
  </r>
  <r>
    <n v="10671"/>
    <s v="France restauration"/>
    <s v="Davolio, Nancy"/>
    <x v="314"/>
    <x v="243"/>
    <x v="1"/>
    <n v="33.374000000000002"/>
    <x v="0"/>
  </r>
  <r>
    <n v="10672"/>
    <s v="Berglunds snabbköp"/>
    <s v="Dodsworth, Anne"/>
    <x v="314"/>
    <x v="244"/>
    <x v="2"/>
    <n v="105.325"/>
    <x v="9"/>
  </r>
  <r>
    <n v="10673"/>
    <s v="Wilman Kala"/>
    <s v="Fuller, Andrew"/>
    <x v="315"/>
    <x v="234"/>
    <x v="1"/>
    <n v="25.036000000000001"/>
    <x v="10"/>
  </r>
  <r>
    <n v="10674"/>
    <s v="Island Trading"/>
    <s v="Peacock, Margaret"/>
    <x v="315"/>
    <x v="245"/>
    <x v="2"/>
    <n v="0.99"/>
    <x v="13"/>
  </r>
  <r>
    <n v="10675"/>
    <s v="Frankenversand"/>
    <s v="Buchanan, Steven"/>
    <x v="316"/>
    <x v="242"/>
    <x v="2"/>
    <n v="35.034999999999997"/>
    <x v="1"/>
  </r>
  <r>
    <n v="10676"/>
    <s v="Tortuga Restaurante"/>
    <s v="Fuller, Andrew"/>
    <x v="317"/>
    <x v="246"/>
    <x v="2"/>
    <n v="2.2109999999999999"/>
    <x v="7"/>
  </r>
  <r>
    <n v="10677"/>
    <s v="Antonio Moreno Taquería"/>
    <s v="Davolio, Nancy"/>
    <x v="317"/>
    <x v="244"/>
    <x v="0"/>
    <n v="4.4329999999999998"/>
    <x v="7"/>
  </r>
  <r>
    <n v="10678"/>
    <s v="Save-a-lot Markets"/>
    <s v="King, Robert"/>
    <x v="318"/>
    <x v="247"/>
    <x v="0"/>
    <n v="427.87799999999999"/>
    <x v="8"/>
  </r>
  <r>
    <n v="10679"/>
    <s v="Blondel père et fils"/>
    <s v="Callahan, Laura"/>
    <x v="318"/>
    <x v="245"/>
    <x v="0"/>
    <n v="30.734000000000002"/>
    <x v="0"/>
  </r>
  <r>
    <n v="10680"/>
    <s v="Old World Delicatessen"/>
    <s v="Davolio, Nancy"/>
    <x v="319"/>
    <x v="244"/>
    <x v="1"/>
    <n v="29.271000000000001"/>
    <x v="8"/>
  </r>
  <r>
    <n v="10681"/>
    <s v="Great Lakes Food Market"/>
    <s v="Leverling, Janet"/>
    <x v="320"/>
    <x v="245"/>
    <x v="0"/>
    <n v="83.742999999999995"/>
    <x v="8"/>
  </r>
  <r>
    <n v="10682"/>
    <s v="Antonio Moreno Taquería"/>
    <s v="Leverling, Janet"/>
    <x v="320"/>
    <x v="248"/>
    <x v="2"/>
    <n v="39.743000000000002"/>
    <x v="7"/>
  </r>
  <r>
    <n v="10683"/>
    <s v="Du monde entier"/>
    <s v="Fuller, Andrew"/>
    <x v="321"/>
    <x v="248"/>
    <x v="1"/>
    <n v="4.84"/>
    <x v="0"/>
  </r>
  <r>
    <n v="10684"/>
    <s v="Ottilies Käseladen"/>
    <s v="Leverling, Janet"/>
    <x v="321"/>
    <x v="245"/>
    <x v="1"/>
    <n v="160.19300000000001"/>
    <x v="1"/>
  </r>
  <r>
    <n v="10685"/>
    <s v="Gourmet Lanchonetes"/>
    <s v="Peacock, Margaret"/>
    <x v="322"/>
    <x v="239"/>
    <x v="2"/>
    <n v="37.125"/>
    <x v="2"/>
  </r>
  <r>
    <n v="10686"/>
    <s v="Piccolo und mehr"/>
    <s v="Fuller, Andrew"/>
    <x v="323"/>
    <x v="249"/>
    <x v="1"/>
    <n v="106.15"/>
    <x v="6"/>
  </r>
  <r>
    <n v="10687"/>
    <s v="Hungry Owl All-Night Grocers"/>
    <s v="Dodsworth, Anne"/>
    <x v="323"/>
    <x v="250"/>
    <x v="2"/>
    <n v="326.07299999999998"/>
    <x v="14"/>
  </r>
  <r>
    <n v="10688"/>
    <s v="Vaffeljernet"/>
    <s v="Peacock, Margaret"/>
    <x v="324"/>
    <x v="251"/>
    <x v="2"/>
    <n v="328.99900000000002"/>
    <x v="17"/>
  </r>
  <r>
    <n v="10689"/>
    <s v="Berglunds snabbköp"/>
    <s v="Davolio, Nancy"/>
    <x v="324"/>
    <x v="251"/>
    <x v="2"/>
    <n v="14.762"/>
    <x v="9"/>
  </r>
  <r>
    <n v="10690"/>
    <s v="Hanari Carnes"/>
    <s v="Davolio, Nancy"/>
    <x v="325"/>
    <x v="239"/>
    <x v="1"/>
    <n v="17.38"/>
    <x v="2"/>
  </r>
  <r>
    <n v="10691"/>
    <s v="QUICK-Stop"/>
    <s v="Fuller, Andrew"/>
    <x v="326"/>
    <x v="252"/>
    <x v="2"/>
    <n v="891.05499999999995"/>
    <x v="1"/>
  </r>
  <r>
    <n v="10692"/>
    <s v="Alfreds Futterkiste"/>
    <s v="Peacock, Margaret"/>
    <x v="326"/>
    <x v="253"/>
    <x v="2"/>
    <n v="67.122"/>
    <x v="1"/>
  </r>
  <r>
    <n v="10693"/>
    <s v="White Clover Markets"/>
    <s v="Leverling, Janet"/>
    <x v="327"/>
    <x v="254"/>
    <x v="0"/>
    <n v="153.274"/>
    <x v="8"/>
  </r>
  <r>
    <n v="10694"/>
    <s v="QUICK-Stop"/>
    <s v="Callahan, Laura"/>
    <x v="327"/>
    <x v="255"/>
    <x v="0"/>
    <n v="438.19600000000003"/>
    <x v="1"/>
  </r>
  <r>
    <n v="10695"/>
    <s v="Wilman Kala"/>
    <s v="King, Robert"/>
    <x v="328"/>
    <x v="256"/>
    <x v="1"/>
    <n v="18.391999999999999"/>
    <x v="10"/>
  </r>
  <r>
    <n v="10696"/>
    <s v="White Clover Markets"/>
    <s v="Callahan, Laura"/>
    <x v="329"/>
    <x v="256"/>
    <x v="0"/>
    <n v="112.80500000000001"/>
    <x v="8"/>
  </r>
  <r>
    <n v="10697"/>
    <s v="LINO-Delicateses"/>
    <s v="Leverling, Janet"/>
    <x v="329"/>
    <x v="256"/>
    <x v="1"/>
    <n v="50.072000000000003"/>
    <x v="5"/>
  </r>
  <r>
    <n v="10698"/>
    <s v="Ernst Handel"/>
    <s v="Peacock, Margaret"/>
    <x v="330"/>
    <x v="257"/>
    <x v="1"/>
    <n v="299.71699999999998"/>
    <x v="6"/>
  </r>
  <r>
    <n v="10699"/>
    <s v="Morgenstern Gesundkost"/>
    <s v="Leverling, Janet"/>
    <x v="330"/>
    <x v="253"/>
    <x v="0"/>
    <n v="0.63800000000000001"/>
    <x v="1"/>
  </r>
  <r>
    <n v="10700"/>
    <s v="Save-a-lot Markets"/>
    <s v="Leverling, Janet"/>
    <x v="331"/>
    <x v="247"/>
    <x v="1"/>
    <n v="71.61"/>
    <x v="8"/>
  </r>
  <r>
    <n v="10701"/>
    <s v="Hungry Owl All-Night Grocers"/>
    <s v="Suyama, Michael"/>
    <x v="332"/>
    <x v="237"/>
    <x v="0"/>
    <n v="242.34100000000001"/>
    <x v="14"/>
  </r>
  <r>
    <n v="10702"/>
    <s v="Alfreds Futterkiste"/>
    <s v="Peacock, Margaret"/>
    <x v="332"/>
    <x v="258"/>
    <x v="1"/>
    <n v="26.334"/>
    <x v="1"/>
  </r>
  <r>
    <n v="10703"/>
    <s v="Folk och fä HB"/>
    <s v="Suyama, Michael"/>
    <x v="333"/>
    <x v="259"/>
    <x v="2"/>
    <n v="167.53"/>
    <x v="9"/>
  </r>
  <r>
    <n v="10704"/>
    <s v="Queen Cozinha"/>
    <s v="Suyama, Michael"/>
    <x v="333"/>
    <x v="260"/>
    <x v="1"/>
    <n v="5.258"/>
    <x v="2"/>
  </r>
  <r>
    <n v="10705"/>
    <s v="HILARIÓN-Abastos"/>
    <s v="Dodsworth, Anne"/>
    <x v="334"/>
    <x v="261"/>
    <x v="2"/>
    <n v="3.8719999999999999"/>
    <x v="5"/>
  </r>
  <r>
    <n v="10706"/>
    <s v="Old World Delicatessen"/>
    <s v="Callahan, Laura"/>
    <x v="335"/>
    <x v="258"/>
    <x v="0"/>
    <n v="149.19300000000001"/>
    <x v="8"/>
  </r>
  <r>
    <n v="10707"/>
    <s v="Around the Horn"/>
    <s v="Peacock, Margaret"/>
    <x v="335"/>
    <x v="262"/>
    <x v="0"/>
    <n v="23.914000000000001"/>
    <x v="13"/>
  </r>
  <r>
    <n v="10708"/>
    <s v="The Big Cheese"/>
    <s v="Suyama, Michael"/>
    <x v="336"/>
    <x v="263"/>
    <x v="2"/>
    <n v="3.2559999999999998"/>
    <x v="8"/>
  </r>
  <r>
    <n v="10709"/>
    <s v="Gourmet Lanchonetes"/>
    <s v="Davolio, Nancy"/>
    <x v="336"/>
    <x v="264"/>
    <x v="0"/>
    <n v="231.88"/>
    <x v="2"/>
  </r>
  <r>
    <n v="10710"/>
    <s v="Franchi S.p.A."/>
    <s v="Davolio, Nancy"/>
    <x v="337"/>
    <x v="262"/>
    <x v="1"/>
    <n v="5.4779999999999998"/>
    <x v="11"/>
  </r>
  <r>
    <n v="10711"/>
    <s v="Save-a-lot Markets"/>
    <s v="Buchanan, Steven"/>
    <x v="338"/>
    <x v="265"/>
    <x v="2"/>
    <n v="57.651000000000003"/>
    <x v="8"/>
  </r>
  <r>
    <n v="10712"/>
    <s v="Hungry Owl All-Night Grocers"/>
    <s v="Leverling, Janet"/>
    <x v="338"/>
    <x v="266"/>
    <x v="1"/>
    <n v="98.923000000000002"/>
    <x v="14"/>
  </r>
  <r>
    <n v="10713"/>
    <s v="Save-a-lot Markets"/>
    <s v="Davolio, Nancy"/>
    <x v="339"/>
    <x v="267"/>
    <x v="1"/>
    <n v="183.755"/>
    <x v="8"/>
  </r>
  <r>
    <n v="10714"/>
    <s v="Save-a-lot Markets"/>
    <s v="Buchanan, Steven"/>
    <x v="339"/>
    <x v="268"/>
    <x v="0"/>
    <n v="26.939"/>
    <x v="8"/>
  </r>
  <r>
    <n v="10715"/>
    <s v="Bon app'"/>
    <s v="Leverling, Janet"/>
    <x v="340"/>
    <x v="265"/>
    <x v="1"/>
    <n v="69.52"/>
    <x v="0"/>
  </r>
  <r>
    <n v="10716"/>
    <s v="Rancho grande"/>
    <s v="Peacock, Margaret"/>
    <x v="341"/>
    <x v="268"/>
    <x v="2"/>
    <n v="24.827000000000002"/>
    <x v="20"/>
  </r>
  <r>
    <n v="10717"/>
    <s v="Frankenversand"/>
    <s v="Davolio, Nancy"/>
    <x v="341"/>
    <x v="265"/>
    <x v="2"/>
    <n v="65.174999999999997"/>
    <x v="1"/>
  </r>
  <r>
    <n v="10718"/>
    <s v="Königlich Essen"/>
    <s v="Davolio, Nancy"/>
    <x v="342"/>
    <x v="265"/>
    <x v="0"/>
    <n v="187.96799999999999"/>
    <x v="1"/>
  </r>
  <r>
    <n v="10719"/>
    <s v="Let's Stop N Shop"/>
    <s v="Callahan, Laura"/>
    <x v="342"/>
    <x v="263"/>
    <x v="2"/>
    <n v="56.584000000000003"/>
    <x v="8"/>
  </r>
  <r>
    <n v="10720"/>
    <s v="Que Delícia"/>
    <s v="Callahan, Laura"/>
    <x v="343"/>
    <x v="263"/>
    <x v="2"/>
    <n v="10.483000000000001"/>
    <x v="2"/>
  </r>
  <r>
    <n v="10721"/>
    <s v="QUICK-Stop"/>
    <s v="Buchanan, Steven"/>
    <x v="344"/>
    <x v="266"/>
    <x v="0"/>
    <n v="53.811999999999998"/>
    <x v="1"/>
  </r>
  <r>
    <n v="10722"/>
    <s v="Save-a-lot Markets"/>
    <s v="Callahan, Laura"/>
    <x v="344"/>
    <x v="269"/>
    <x v="1"/>
    <n v="82.037999999999997"/>
    <x v="8"/>
  </r>
  <r>
    <n v="10723"/>
    <s v="White Clover Markets"/>
    <s v="Leverling, Janet"/>
    <x v="345"/>
    <x v="270"/>
    <x v="1"/>
    <n v="23.891999999999999"/>
    <x v="8"/>
  </r>
  <r>
    <n v="10724"/>
    <s v="Mère Paillarde"/>
    <s v="Callahan, Laura"/>
    <x v="345"/>
    <x v="263"/>
    <x v="2"/>
    <n v="63.524999999999999"/>
    <x v="16"/>
  </r>
  <r>
    <n v="10725"/>
    <s v="Familia Arquibaldo"/>
    <s v="Peacock, Margaret"/>
    <x v="346"/>
    <x v="263"/>
    <x v="0"/>
    <n v="11.913"/>
    <x v="2"/>
  </r>
  <r>
    <n v="10726"/>
    <s v="Eastern Connection"/>
    <s v="Peacock, Margaret"/>
    <x v="347"/>
    <x v="271"/>
    <x v="1"/>
    <n v="18.216000000000001"/>
    <x v="13"/>
  </r>
  <r>
    <n v="10727"/>
    <s v="Reggiani Caseifici"/>
    <s v="Fuller, Andrew"/>
    <x v="347"/>
    <x v="271"/>
    <x v="1"/>
    <n v="98.89"/>
    <x v="11"/>
  </r>
  <r>
    <n v="10728"/>
    <s v="Queen Cozinha"/>
    <s v="Peacock, Margaret"/>
    <x v="348"/>
    <x v="272"/>
    <x v="2"/>
    <n v="64.162999999999997"/>
    <x v="2"/>
  </r>
  <r>
    <n v="10729"/>
    <s v="LINO-Delicateses"/>
    <s v="Callahan, Laura"/>
    <x v="348"/>
    <x v="273"/>
    <x v="0"/>
    <n v="155.166"/>
    <x v="5"/>
  </r>
  <r>
    <n v="10730"/>
    <s v="Bon app'"/>
    <s v="Buchanan, Steven"/>
    <x v="349"/>
    <x v="273"/>
    <x v="1"/>
    <n v="22.132000000000001"/>
    <x v="0"/>
  </r>
  <r>
    <n v="10731"/>
    <s v="Chop-suey Chinese"/>
    <s v="King, Robert"/>
    <x v="350"/>
    <x v="273"/>
    <x v="1"/>
    <n v="106.315"/>
    <x v="4"/>
  </r>
  <r>
    <n v="10732"/>
    <s v="Bon app'"/>
    <s v="Leverling, Janet"/>
    <x v="350"/>
    <x v="260"/>
    <x v="1"/>
    <n v="18.667000000000002"/>
    <x v="0"/>
  </r>
  <r>
    <n v="10733"/>
    <s v="Berglunds snabbköp"/>
    <s v="Davolio, Nancy"/>
    <x v="351"/>
    <x v="274"/>
    <x v="0"/>
    <n v="121.121"/>
    <x v="9"/>
  </r>
  <r>
    <n v="10734"/>
    <s v="Gourmet Lanchonetes"/>
    <s v="Fuller, Andrew"/>
    <x v="351"/>
    <x v="275"/>
    <x v="0"/>
    <n v="1.7929999999999999"/>
    <x v="2"/>
  </r>
  <r>
    <n v="10735"/>
    <s v="Let's Stop N Shop"/>
    <s v="Suyama, Michael"/>
    <x v="352"/>
    <x v="276"/>
    <x v="2"/>
    <n v="50.567"/>
    <x v="8"/>
  </r>
  <r>
    <n v="10736"/>
    <s v="Hungry Owl All-Night Grocers"/>
    <s v="Dodsworth, Anne"/>
    <x v="353"/>
    <x v="276"/>
    <x v="2"/>
    <n v="48.51"/>
    <x v="14"/>
  </r>
  <r>
    <n v="10737"/>
    <s v="Vins et alcools Chevalier"/>
    <s v="Fuller, Andrew"/>
    <x v="353"/>
    <x v="261"/>
    <x v="2"/>
    <n v="8.5690000000000008"/>
    <x v="0"/>
  </r>
  <r>
    <n v="10738"/>
    <s v="Spécialités du monde"/>
    <s v="Fuller, Andrew"/>
    <x v="354"/>
    <x v="261"/>
    <x v="1"/>
    <n v="3.2010000000000001"/>
    <x v="0"/>
  </r>
  <r>
    <n v="10739"/>
    <s v="Vins et alcools Chevalier"/>
    <s v="Leverling, Janet"/>
    <x v="354"/>
    <x v="277"/>
    <x v="0"/>
    <n v="12.188000000000001"/>
    <x v="0"/>
  </r>
  <r>
    <n v="10740"/>
    <s v="White Clover Markets"/>
    <s v="Peacock, Margaret"/>
    <x v="355"/>
    <x v="270"/>
    <x v="2"/>
    <n v="90.067999999999998"/>
    <x v="8"/>
  </r>
  <r>
    <n v="10741"/>
    <s v="Around the Horn"/>
    <s v="Peacock, Margaret"/>
    <x v="356"/>
    <x v="261"/>
    <x v="0"/>
    <n v="12.055999999999999"/>
    <x v="13"/>
  </r>
  <r>
    <n v="10742"/>
    <s v="Bottom-Dollar Markets"/>
    <s v="Leverling, Janet"/>
    <x v="356"/>
    <x v="261"/>
    <x v="0"/>
    <n v="268.10300000000001"/>
    <x v="16"/>
  </r>
  <r>
    <n v="10743"/>
    <s v="Around the Horn"/>
    <s v="Davolio, Nancy"/>
    <x v="357"/>
    <x v="276"/>
    <x v="2"/>
    <n v="26.091999999999999"/>
    <x v="13"/>
  </r>
  <r>
    <n v="10744"/>
    <s v="Vaffeljernet"/>
    <s v="Suyama, Michael"/>
    <x v="357"/>
    <x v="278"/>
    <x v="1"/>
    <n v="76.108999999999995"/>
    <x v="17"/>
  </r>
  <r>
    <n v="10745"/>
    <s v="QUICK-Stop"/>
    <s v="Dodsworth, Anne"/>
    <x v="358"/>
    <x v="279"/>
    <x v="1"/>
    <n v="3.8719999999999999"/>
    <x v="1"/>
  </r>
  <r>
    <n v="10746"/>
    <s v="Chop-suey Chinese"/>
    <s v="Davolio, Nancy"/>
    <x v="359"/>
    <x v="276"/>
    <x v="0"/>
    <n v="34.573"/>
    <x v="4"/>
  </r>
  <r>
    <n v="10747"/>
    <s v="Piccolo und mehr"/>
    <s v="Suyama, Michael"/>
    <x v="359"/>
    <x v="280"/>
    <x v="1"/>
    <n v="129.06299999999999"/>
    <x v="6"/>
  </r>
  <r>
    <n v="10748"/>
    <s v="Save-a-lot Markets"/>
    <s v="Leverling, Janet"/>
    <x v="360"/>
    <x v="281"/>
    <x v="1"/>
    <n v="255.80500000000001"/>
    <x v="8"/>
  </r>
  <r>
    <n v="10749"/>
    <s v="Island Trading"/>
    <s v="Peacock, Margaret"/>
    <x v="360"/>
    <x v="282"/>
    <x v="2"/>
    <n v="67.683000000000007"/>
    <x v="13"/>
  </r>
  <r>
    <n v="10750"/>
    <s v="Wartian Herkku"/>
    <s v="Dodsworth, Anne"/>
    <x v="361"/>
    <x v="278"/>
    <x v="1"/>
    <n v="87.23"/>
    <x v="10"/>
  </r>
  <r>
    <n v="10751"/>
    <s v="Richter Supermarkt"/>
    <s v="Leverling, Janet"/>
    <x v="362"/>
    <x v="283"/>
    <x v="0"/>
    <n v="143.869"/>
    <x v="4"/>
  </r>
  <r>
    <n v="10752"/>
    <s v="North/South"/>
    <s v="Fuller, Andrew"/>
    <x v="362"/>
    <x v="281"/>
    <x v="0"/>
    <n v="1.5289999999999999"/>
    <x v="13"/>
  </r>
  <r>
    <n v="10753"/>
    <s v="Franchi S.p.A."/>
    <s v="Leverling, Janet"/>
    <x v="363"/>
    <x v="279"/>
    <x v="1"/>
    <n v="8.4700000000000006"/>
    <x v="11"/>
  </r>
  <r>
    <n v="10754"/>
    <s v="Magazzini Alimentari Riuniti"/>
    <s v="Suyama, Michael"/>
    <x v="363"/>
    <x v="279"/>
    <x v="0"/>
    <n v="2.6179999999999999"/>
    <x v="11"/>
  </r>
  <r>
    <n v="10755"/>
    <s v="Bon app'"/>
    <s v="Peacock, Margaret"/>
    <x v="364"/>
    <x v="281"/>
    <x v="2"/>
    <n v="18.381"/>
    <x v="0"/>
  </r>
  <r>
    <n v="10756"/>
    <s v="Split Rail Beer &amp; Ale"/>
    <s v="Callahan, Laura"/>
    <x v="365"/>
    <x v="284"/>
    <x v="2"/>
    <n v="80.531000000000006"/>
    <x v="8"/>
  </r>
  <r>
    <n v="10757"/>
    <s v="Save-a-lot Markets"/>
    <s v="Suyama, Michael"/>
    <x v="365"/>
    <x v="285"/>
    <x v="1"/>
    <n v="9.0090000000000003"/>
    <x v="8"/>
  </r>
  <r>
    <n v="10758"/>
    <s v="Richter Supermarkt"/>
    <s v="Leverling, Janet"/>
    <x v="366"/>
    <x v="286"/>
    <x v="0"/>
    <n v="151.98699999999999"/>
    <x v="4"/>
  </r>
  <r>
    <n v="10759"/>
    <s v="Ana Trujillo Emparedados y helados"/>
    <s v="Leverling, Janet"/>
    <x v="366"/>
    <x v="287"/>
    <x v="0"/>
    <n v="13.189"/>
    <x v="7"/>
  </r>
  <r>
    <n v="10760"/>
    <s v="Maison Dewey"/>
    <s v="Peacock, Margaret"/>
    <x v="367"/>
    <x v="288"/>
    <x v="1"/>
    <n v="171.20400000000001"/>
    <x v="3"/>
  </r>
  <r>
    <n v="10761"/>
    <s v="Rattlesnake Canyon Grocery"/>
    <s v="Buchanan, Steven"/>
    <x v="368"/>
    <x v="289"/>
    <x v="2"/>
    <n v="20.526"/>
    <x v="8"/>
  </r>
  <r>
    <n v="10762"/>
    <s v="Folk och fä HB"/>
    <s v="Leverling, Janet"/>
    <x v="368"/>
    <x v="290"/>
    <x v="1"/>
    <n v="361.61399999999998"/>
    <x v="9"/>
  </r>
  <r>
    <n v="10763"/>
    <s v="Folies gourmandes"/>
    <s v="Leverling, Janet"/>
    <x v="369"/>
    <x v="289"/>
    <x v="0"/>
    <n v="41.085000000000001"/>
    <x v="0"/>
  </r>
  <r>
    <n v="10764"/>
    <s v="Ernst Handel"/>
    <s v="Suyama, Michael"/>
    <x v="369"/>
    <x v="289"/>
    <x v="0"/>
    <n v="159.995"/>
    <x v="6"/>
  </r>
  <r>
    <n v="10765"/>
    <s v="QUICK-Stop"/>
    <s v="Leverling, Janet"/>
    <x v="370"/>
    <x v="290"/>
    <x v="0"/>
    <n v="47.014000000000003"/>
    <x v="1"/>
  </r>
  <r>
    <n v="10766"/>
    <s v="Ottilies Käseladen"/>
    <s v="Peacock, Margaret"/>
    <x v="371"/>
    <x v="290"/>
    <x v="1"/>
    <n v="173.30500000000001"/>
    <x v="1"/>
  </r>
  <r>
    <n v="10767"/>
    <s v="Suprêmes délices"/>
    <s v="Peacock, Margaret"/>
    <x v="371"/>
    <x v="285"/>
    <x v="0"/>
    <n v="1.7490000000000001"/>
    <x v="3"/>
  </r>
  <r>
    <n v="10768"/>
    <s v="Around the Horn"/>
    <s v="Leverling, Janet"/>
    <x v="372"/>
    <x v="285"/>
    <x v="2"/>
    <n v="160.952"/>
    <x v="13"/>
  </r>
  <r>
    <n v="10769"/>
    <s v="Vaffeljernet"/>
    <s v="Leverling, Janet"/>
    <x v="372"/>
    <x v="287"/>
    <x v="1"/>
    <n v="71.566000000000003"/>
    <x v="17"/>
  </r>
  <r>
    <n v="10770"/>
    <s v="Hanari Carnes"/>
    <s v="Callahan, Laura"/>
    <x v="373"/>
    <x v="291"/>
    <x v="0"/>
    <n v="5.8520000000000003"/>
    <x v="2"/>
  </r>
  <r>
    <n v="10771"/>
    <s v="Ernst Handel"/>
    <s v="Dodsworth, Anne"/>
    <x v="374"/>
    <x v="292"/>
    <x v="2"/>
    <n v="12.308999999999999"/>
    <x v="6"/>
  </r>
  <r>
    <n v="10772"/>
    <s v="Lehmanns Marktstand"/>
    <s v="Leverling, Janet"/>
    <x v="374"/>
    <x v="282"/>
    <x v="2"/>
    <n v="100.408"/>
    <x v="1"/>
  </r>
  <r>
    <n v="10773"/>
    <s v="Ernst Handel"/>
    <s v="Davolio, Nancy"/>
    <x v="375"/>
    <x v="293"/>
    <x v="0"/>
    <n v="106.07299999999999"/>
    <x v="6"/>
  </r>
  <r>
    <n v="10774"/>
    <s v="Folk och fä HB"/>
    <s v="Peacock, Margaret"/>
    <x v="375"/>
    <x v="287"/>
    <x v="1"/>
    <n v="53.02"/>
    <x v="9"/>
  </r>
  <r>
    <n v="10775"/>
    <s v="The Cracker Box"/>
    <s v="King, Robert"/>
    <x v="376"/>
    <x v="294"/>
    <x v="1"/>
    <n v="22.274999999999999"/>
    <x v="8"/>
  </r>
  <r>
    <n v="10776"/>
    <s v="Ernst Handel"/>
    <s v="Davolio, Nancy"/>
    <x v="377"/>
    <x v="295"/>
    <x v="0"/>
    <n v="386.68299999999999"/>
    <x v="6"/>
  </r>
  <r>
    <n v="10777"/>
    <s v="Gourmet Lanchonetes"/>
    <s v="King, Robert"/>
    <x v="377"/>
    <x v="296"/>
    <x v="2"/>
    <n v="3.3109999999999999"/>
    <x v="2"/>
  </r>
  <r>
    <n v="10778"/>
    <s v="Berglunds snabbköp"/>
    <s v="Leverling, Janet"/>
    <x v="378"/>
    <x v="297"/>
    <x v="1"/>
    <n v="7.4690000000000003"/>
    <x v="9"/>
  </r>
  <r>
    <n v="10779"/>
    <s v="Morgenstern Gesundkost"/>
    <s v="Leverling, Janet"/>
    <x v="378"/>
    <x v="298"/>
    <x v="2"/>
    <n v="63.942999999999998"/>
    <x v="1"/>
  </r>
  <r>
    <n v="10780"/>
    <s v="LILA-Supermercado"/>
    <s v="Fuller, Andrew"/>
    <x v="378"/>
    <x v="299"/>
    <x v="1"/>
    <n v="46.343000000000004"/>
    <x v="5"/>
  </r>
  <r>
    <n v="10781"/>
    <s v="Wartian Herkku"/>
    <s v="Fuller, Andrew"/>
    <x v="379"/>
    <x v="282"/>
    <x v="0"/>
    <n v="80.475999999999999"/>
    <x v="10"/>
  </r>
  <r>
    <n v="10782"/>
    <s v="Cactus Comidas para llevar"/>
    <s v="Dodsworth, Anne"/>
    <x v="379"/>
    <x v="300"/>
    <x v="0"/>
    <n v="1.21"/>
    <x v="20"/>
  </r>
  <r>
    <n v="10783"/>
    <s v="Hanari Carnes"/>
    <s v="Peacock, Margaret"/>
    <x v="380"/>
    <x v="282"/>
    <x v="2"/>
    <n v="137.47800000000001"/>
    <x v="2"/>
  </r>
  <r>
    <n v="10784"/>
    <s v="Magazzini Alimentari Riuniti"/>
    <s v="Peacock, Margaret"/>
    <x v="380"/>
    <x v="300"/>
    <x v="0"/>
    <n v="77.099000000000004"/>
    <x v="11"/>
  </r>
  <r>
    <n v="10785"/>
    <s v="GROSELLA-Restaurante"/>
    <s v="Davolio, Nancy"/>
    <x v="380"/>
    <x v="297"/>
    <x v="0"/>
    <n v="1.661"/>
    <x v="5"/>
  </r>
  <r>
    <n v="10786"/>
    <s v="Queen Cozinha"/>
    <s v="Callahan, Laura"/>
    <x v="381"/>
    <x v="301"/>
    <x v="1"/>
    <n v="121.95699999999999"/>
    <x v="2"/>
  </r>
  <r>
    <n v="10787"/>
    <s v="La maison d'Asie"/>
    <s v="Fuller, Andrew"/>
    <x v="381"/>
    <x v="294"/>
    <x v="1"/>
    <n v="274.923"/>
    <x v="0"/>
  </r>
  <r>
    <n v="10788"/>
    <s v="QUICK-Stop"/>
    <s v="Davolio, Nancy"/>
    <x v="382"/>
    <x v="302"/>
    <x v="2"/>
    <n v="46.97"/>
    <x v="1"/>
  </r>
  <r>
    <n v="10789"/>
    <s v="Folies gourmandes"/>
    <s v="Davolio, Nancy"/>
    <x v="382"/>
    <x v="303"/>
    <x v="2"/>
    <n v="110.66"/>
    <x v="0"/>
  </r>
  <r>
    <n v="10790"/>
    <s v="Gourmet Lanchonetes"/>
    <s v="Suyama, Michael"/>
    <x v="382"/>
    <x v="294"/>
    <x v="1"/>
    <n v="31.053000000000001"/>
    <x v="2"/>
  </r>
  <r>
    <n v="10791"/>
    <s v="Frankenversand"/>
    <s v="Suyama, Michael"/>
    <x v="383"/>
    <x v="304"/>
    <x v="2"/>
    <n v="18.535"/>
    <x v="1"/>
  </r>
  <r>
    <n v="10792"/>
    <s v="Wolski  Zajazd"/>
    <s v="Davolio, Nancy"/>
    <x v="383"/>
    <x v="303"/>
    <x v="0"/>
    <n v="26.169"/>
    <x v="18"/>
  </r>
  <r>
    <n v="10793"/>
    <s v="Around the Horn"/>
    <s v="Leverling, Janet"/>
    <x v="384"/>
    <x v="305"/>
    <x v="0"/>
    <n v="4.9720000000000004"/>
    <x v="13"/>
  </r>
  <r>
    <n v="10794"/>
    <s v="Que Delícia"/>
    <s v="Suyama, Michael"/>
    <x v="384"/>
    <x v="292"/>
    <x v="1"/>
    <n v="23.638999999999999"/>
    <x v="2"/>
  </r>
  <r>
    <n v="10795"/>
    <s v="Ernst Handel"/>
    <s v="Callahan, Laura"/>
    <x v="384"/>
    <x v="306"/>
    <x v="2"/>
    <n v="139.32599999999999"/>
    <x v="6"/>
  </r>
  <r>
    <n v="10796"/>
    <s v="HILARIÓN-Abastos"/>
    <s v="Leverling, Janet"/>
    <x v="385"/>
    <x v="298"/>
    <x v="1"/>
    <n v="29.172000000000001"/>
    <x v="5"/>
  </r>
  <r>
    <n v="10797"/>
    <s v="Drachenblut Delikatessen"/>
    <s v="King, Robert"/>
    <x v="385"/>
    <x v="307"/>
    <x v="2"/>
    <n v="36.685000000000002"/>
    <x v="1"/>
  </r>
  <r>
    <n v="10798"/>
    <s v="Island Trading"/>
    <s v="Fuller, Andrew"/>
    <x v="386"/>
    <x v="307"/>
    <x v="1"/>
    <n v="2.5630000000000002"/>
    <x v="13"/>
  </r>
  <r>
    <n v="10799"/>
    <s v="Königlich Essen"/>
    <s v="Dodsworth, Anne"/>
    <x v="386"/>
    <x v="307"/>
    <x v="0"/>
    <n v="33.835999999999999"/>
    <x v="1"/>
  </r>
  <r>
    <n v="10800"/>
    <s v="Seven Seas Imports"/>
    <s v="Davolio, Nancy"/>
    <x v="386"/>
    <x v="307"/>
    <x v="0"/>
    <n v="151.184"/>
    <x v="13"/>
  </r>
  <r>
    <n v="10801"/>
    <s v="Bólido Comidas preparadas"/>
    <s v="Peacock, Margaret"/>
    <x v="387"/>
    <x v="303"/>
    <x v="2"/>
    <n v="106.79900000000001"/>
    <x v="12"/>
  </r>
  <r>
    <n v="10802"/>
    <s v="Simons bistro"/>
    <s v="Peacock, Margaret"/>
    <x v="387"/>
    <x v="292"/>
    <x v="2"/>
    <n v="282.98599999999999"/>
    <x v="17"/>
  </r>
  <r>
    <n v="10803"/>
    <s v="Wellington Importadora"/>
    <s v="Peacock, Margaret"/>
    <x v="388"/>
    <x v="308"/>
    <x v="1"/>
    <n v="60.753"/>
    <x v="2"/>
  </r>
  <r>
    <n v="10804"/>
    <s v="Seven Seas Imports"/>
    <s v="Suyama, Michael"/>
    <x v="388"/>
    <x v="309"/>
    <x v="2"/>
    <n v="30.062999999999999"/>
    <x v="13"/>
  </r>
  <r>
    <n v="10805"/>
    <s v="The Big Cheese"/>
    <s v="Fuller, Andrew"/>
    <x v="388"/>
    <x v="310"/>
    <x v="0"/>
    <n v="261.07400000000001"/>
    <x v="8"/>
  </r>
  <r>
    <n v="10806"/>
    <s v="Victuailles en stock"/>
    <s v="Leverling, Janet"/>
    <x v="389"/>
    <x v="307"/>
    <x v="2"/>
    <n v="24.321000000000002"/>
    <x v="0"/>
  </r>
  <r>
    <n v="10807"/>
    <s v="Franchi S.p.A."/>
    <s v="Peacock, Margaret"/>
    <x v="389"/>
    <x v="311"/>
    <x v="1"/>
    <n v="1.496"/>
    <x v="11"/>
  </r>
  <r>
    <n v="10808"/>
    <s v="Princesa Isabel Vinhos"/>
    <s v="Fuller, Andrew"/>
    <x v="390"/>
    <x v="310"/>
    <x v="0"/>
    <n v="50.082999999999998"/>
    <x v="8"/>
  </r>
  <r>
    <n v="10809"/>
    <s v="Wellington Importadora"/>
    <s v="King, Robert"/>
    <x v="390"/>
    <x v="309"/>
    <x v="1"/>
    <n v="5.3570000000000002"/>
    <x v="2"/>
  </r>
  <r>
    <n v="10810"/>
    <s v="Laughing Bacchus Wine Cellars"/>
    <s v="Fuller, Andrew"/>
    <x v="390"/>
    <x v="309"/>
    <x v="0"/>
    <n v="4.7629999999999999"/>
    <x v="16"/>
  </r>
  <r>
    <n v="10811"/>
    <s v="LINO-Delicateses"/>
    <s v="Callahan, Laura"/>
    <x v="391"/>
    <x v="305"/>
    <x v="1"/>
    <n v="34.341999999999999"/>
    <x v="5"/>
  </r>
  <r>
    <n v="10812"/>
    <s v="Reggiani Caseifici"/>
    <s v="Buchanan, Steven"/>
    <x v="391"/>
    <x v="312"/>
    <x v="1"/>
    <n v="65.757999999999996"/>
    <x v="11"/>
  </r>
  <r>
    <n v="10813"/>
    <s v="Ricardo Adocicados"/>
    <s v="Davolio, Nancy"/>
    <x v="392"/>
    <x v="310"/>
    <x v="1"/>
    <n v="52.118000000000002"/>
    <x v="2"/>
  </r>
  <r>
    <n v="10814"/>
    <s v="Victuailles en stock"/>
    <s v="Leverling, Janet"/>
    <x v="392"/>
    <x v="298"/>
    <x v="0"/>
    <n v="144.03399999999999"/>
    <x v="0"/>
  </r>
  <r>
    <n v="10815"/>
    <s v="Save-a-lot Markets"/>
    <s v="Fuller, Andrew"/>
    <x v="392"/>
    <x v="298"/>
    <x v="0"/>
    <n v="16.082000000000001"/>
    <x v="8"/>
  </r>
  <r>
    <n v="10816"/>
    <s v="Great Lakes Food Market"/>
    <s v="Peacock, Margaret"/>
    <x v="393"/>
    <x v="313"/>
    <x v="2"/>
    <n v="791.75800000000004"/>
    <x v="8"/>
  </r>
  <r>
    <n v="10817"/>
    <s v="Königlich Essen"/>
    <s v="Leverling, Janet"/>
    <x v="393"/>
    <x v="314"/>
    <x v="2"/>
    <n v="336.67700000000002"/>
    <x v="1"/>
  </r>
  <r>
    <n v="10818"/>
    <s v="Magazzini Alimentari Riuniti"/>
    <s v="King, Robert"/>
    <x v="394"/>
    <x v="312"/>
    <x v="0"/>
    <n v="72.028000000000006"/>
    <x v="11"/>
  </r>
  <r>
    <n v="10819"/>
    <s v="Cactus Comidas para llevar"/>
    <s v="Fuller, Andrew"/>
    <x v="394"/>
    <x v="315"/>
    <x v="0"/>
    <n v="21.736000000000001"/>
    <x v="20"/>
  </r>
  <r>
    <n v="10820"/>
    <s v="Rattlesnake Canyon Grocery"/>
    <s v="Leverling, Janet"/>
    <x v="394"/>
    <x v="314"/>
    <x v="2"/>
    <n v="41.271999999999998"/>
    <x v="8"/>
  </r>
  <r>
    <n v="10821"/>
    <s v="Split Rail Beer &amp; Ale"/>
    <s v="Davolio, Nancy"/>
    <x v="395"/>
    <x v="316"/>
    <x v="1"/>
    <n v="40.347999999999999"/>
    <x v="8"/>
  </r>
  <r>
    <n v="10822"/>
    <s v="Trail's Head Gourmet Provisioners"/>
    <s v="Suyama, Michael"/>
    <x v="395"/>
    <x v="315"/>
    <x v="0"/>
    <n v="7.7"/>
    <x v="8"/>
  </r>
  <r>
    <n v="10823"/>
    <s v="LILA-Supermercado"/>
    <s v="Buchanan, Steven"/>
    <x v="396"/>
    <x v="314"/>
    <x v="2"/>
    <n v="180.36699999999999"/>
    <x v="5"/>
  </r>
  <r>
    <n v="10824"/>
    <s v="Folk och fä HB"/>
    <s v="Callahan, Laura"/>
    <x v="396"/>
    <x v="311"/>
    <x v="1"/>
    <n v="1.353"/>
    <x v="9"/>
  </r>
  <r>
    <n v="10825"/>
    <s v="Drachenblut Delikatessen"/>
    <s v="Davolio, Nancy"/>
    <x v="396"/>
    <x v="298"/>
    <x v="1"/>
    <n v="87.174999999999997"/>
    <x v="1"/>
  </r>
  <r>
    <n v="10826"/>
    <s v="Blondel père et fils"/>
    <s v="Suyama, Michael"/>
    <x v="397"/>
    <x v="317"/>
    <x v="1"/>
    <n v="7.7990000000000004"/>
    <x v="0"/>
  </r>
  <r>
    <n v="10827"/>
    <s v="Bon app'"/>
    <s v="Davolio, Nancy"/>
    <x v="397"/>
    <x v="317"/>
    <x v="2"/>
    <n v="69.894000000000005"/>
    <x v="0"/>
  </r>
  <r>
    <n v="10828"/>
    <s v="Rancho grande"/>
    <s v="Dodsworth, Anne"/>
    <x v="398"/>
    <x v="313"/>
    <x v="1"/>
    <n v="99.935000000000002"/>
    <x v="20"/>
  </r>
  <r>
    <n v="10829"/>
    <s v="Island Trading"/>
    <s v="Dodsworth, Anne"/>
    <x v="398"/>
    <x v="318"/>
    <x v="1"/>
    <n v="170.19200000000001"/>
    <x v="13"/>
  </r>
  <r>
    <n v="10830"/>
    <s v="Tradição Hipermercados"/>
    <s v="Peacock, Margaret"/>
    <x v="398"/>
    <x v="296"/>
    <x v="2"/>
    <n v="90.013000000000005"/>
    <x v="2"/>
  </r>
  <r>
    <n v="10831"/>
    <s v="Santé Gourmet"/>
    <s v="Leverling, Janet"/>
    <x v="399"/>
    <x v="318"/>
    <x v="2"/>
    <n v="79.409000000000006"/>
    <x v="19"/>
  </r>
  <r>
    <n v="10832"/>
    <s v="La maison d'Asie"/>
    <s v="Fuller, Andrew"/>
    <x v="399"/>
    <x v="302"/>
    <x v="2"/>
    <n v="47.585999999999999"/>
    <x v="0"/>
  </r>
  <r>
    <n v="10833"/>
    <s v="Ottilies Käseladen"/>
    <s v="Suyama, Michael"/>
    <x v="400"/>
    <x v="318"/>
    <x v="2"/>
    <n v="78.638999999999996"/>
    <x v="1"/>
  </r>
  <r>
    <n v="10834"/>
    <s v="Tradição Hipermercados"/>
    <s v="Davolio, Nancy"/>
    <x v="400"/>
    <x v="302"/>
    <x v="0"/>
    <n v="32.758000000000003"/>
    <x v="2"/>
  </r>
  <r>
    <n v="10835"/>
    <s v="Alfreds Futterkiste"/>
    <s v="Davolio, Nancy"/>
    <x v="400"/>
    <x v="296"/>
    <x v="0"/>
    <n v="76.483000000000004"/>
    <x v="1"/>
  </r>
  <r>
    <n v="10836"/>
    <s v="Ernst Handel"/>
    <s v="King, Robert"/>
    <x v="401"/>
    <x v="296"/>
    <x v="1"/>
    <n v="453.06799999999998"/>
    <x v="6"/>
  </r>
  <r>
    <n v="10837"/>
    <s v="Berglunds snabbköp"/>
    <s v="Dodsworth, Anne"/>
    <x v="401"/>
    <x v="318"/>
    <x v="0"/>
    <n v="14.651999999999999"/>
    <x v="9"/>
  </r>
  <r>
    <n v="10838"/>
    <s v="LINO-Delicateses"/>
    <s v="Leverling, Janet"/>
    <x v="402"/>
    <x v="318"/>
    <x v="0"/>
    <n v="65.207999999999998"/>
    <x v="5"/>
  </r>
  <r>
    <n v="10839"/>
    <s v="Tradição Hipermercados"/>
    <s v="Leverling, Janet"/>
    <x v="402"/>
    <x v="319"/>
    <x v="0"/>
    <n v="38.972999999999999"/>
    <x v="2"/>
  </r>
  <r>
    <n v="10840"/>
    <s v="LINO-Delicateses"/>
    <s v="Peacock, Margaret"/>
    <x v="402"/>
    <x v="320"/>
    <x v="2"/>
    <n v="2.9809999999999999"/>
    <x v="5"/>
  </r>
  <r>
    <n v="10841"/>
    <s v="Suprêmes délices"/>
    <s v="Buchanan, Steven"/>
    <x v="403"/>
    <x v="321"/>
    <x v="2"/>
    <n v="466.73"/>
    <x v="3"/>
  </r>
  <r>
    <n v="10842"/>
    <s v="Tortuga Restaurante"/>
    <s v="Davolio, Nancy"/>
    <x v="403"/>
    <x v="321"/>
    <x v="0"/>
    <n v="59.862000000000002"/>
    <x v="7"/>
  </r>
  <r>
    <n v="10843"/>
    <s v="Victuailles en stock"/>
    <s v="Peacock, Margaret"/>
    <x v="404"/>
    <x v="322"/>
    <x v="2"/>
    <n v="10.186"/>
    <x v="0"/>
  </r>
  <r>
    <n v="10844"/>
    <s v="Piccolo und mehr"/>
    <s v="Callahan, Laura"/>
    <x v="404"/>
    <x v="322"/>
    <x v="2"/>
    <n v="27.742000000000001"/>
    <x v="6"/>
  </r>
  <r>
    <n v="10845"/>
    <s v="QUICK-Stop"/>
    <s v="Callahan, Laura"/>
    <x v="404"/>
    <x v="311"/>
    <x v="1"/>
    <n v="234.27799999999999"/>
    <x v="1"/>
  </r>
  <r>
    <n v="10846"/>
    <s v="Suprêmes délices"/>
    <s v="Fuller, Andrew"/>
    <x v="405"/>
    <x v="318"/>
    <x v="0"/>
    <n v="62.106000000000002"/>
    <x v="3"/>
  </r>
  <r>
    <n v="10847"/>
    <s v="Save-a-lot Markets"/>
    <s v="Peacock, Margaret"/>
    <x v="405"/>
    <x v="323"/>
    <x v="0"/>
    <n v="536.327"/>
    <x v="8"/>
  </r>
  <r>
    <n v="10848"/>
    <s v="Consolidated Holdings"/>
    <s v="King, Robert"/>
    <x v="406"/>
    <x v="321"/>
    <x v="2"/>
    <n v="42.064"/>
    <x v="13"/>
  </r>
  <r>
    <n v="10849"/>
    <s v="Königlich Essen"/>
    <s v="Dodsworth, Anne"/>
    <x v="406"/>
    <x v="311"/>
    <x v="2"/>
    <n v="0.61599999999999999"/>
    <x v="1"/>
  </r>
  <r>
    <n v="10850"/>
    <s v="Victuailles en stock"/>
    <s v="Davolio, Nancy"/>
    <x v="406"/>
    <x v="311"/>
    <x v="1"/>
    <n v="54.109000000000002"/>
    <x v="0"/>
  </r>
  <r>
    <n v="10851"/>
    <s v="Ricardo Adocicados"/>
    <s v="Buchanan, Steven"/>
    <x v="407"/>
    <x v="324"/>
    <x v="1"/>
    <n v="176.60499999999999"/>
    <x v="2"/>
  </r>
  <r>
    <n v="10852"/>
    <s v="Rattlesnake Canyon Grocery"/>
    <s v="Callahan, Laura"/>
    <x v="407"/>
    <x v="311"/>
    <x v="1"/>
    <n v="191.45500000000001"/>
    <x v="8"/>
  </r>
  <r>
    <n v="10853"/>
    <s v="Blauer See Delikatessen"/>
    <s v="Dodsworth, Anne"/>
    <x v="408"/>
    <x v="325"/>
    <x v="2"/>
    <n v="59.213000000000001"/>
    <x v="1"/>
  </r>
  <r>
    <n v="10854"/>
    <s v="Ernst Handel"/>
    <s v="Leverling, Janet"/>
    <x v="408"/>
    <x v="326"/>
    <x v="2"/>
    <n v="110.242"/>
    <x v="6"/>
  </r>
  <r>
    <n v="10855"/>
    <s v="Old World Delicatessen"/>
    <s v="Leverling, Janet"/>
    <x v="408"/>
    <x v="313"/>
    <x v="1"/>
    <n v="188.06700000000001"/>
    <x v="8"/>
  </r>
  <r>
    <n v="10856"/>
    <s v="Antonio Moreno Taquería"/>
    <s v="Leverling, Janet"/>
    <x v="409"/>
    <x v="323"/>
    <x v="2"/>
    <n v="64.272999999999996"/>
    <x v="7"/>
  </r>
  <r>
    <n v="10857"/>
    <s v="Berglunds snabbköp"/>
    <s v="Callahan, Laura"/>
    <x v="409"/>
    <x v="317"/>
    <x v="2"/>
    <n v="207.73500000000001"/>
    <x v="9"/>
  </r>
  <r>
    <n v="10858"/>
    <s v="La corne d'abondance"/>
    <s v="Fuller, Andrew"/>
    <x v="410"/>
    <x v="325"/>
    <x v="1"/>
    <n v="57.761000000000003"/>
    <x v="0"/>
  </r>
  <r>
    <n v="10859"/>
    <s v="Frankenversand"/>
    <s v="Davolio, Nancy"/>
    <x v="410"/>
    <x v="324"/>
    <x v="2"/>
    <n v="83.71"/>
    <x v="1"/>
  </r>
  <r>
    <n v="10860"/>
    <s v="France restauration"/>
    <s v="Leverling, Janet"/>
    <x v="410"/>
    <x v="313"/>
    <x v="0"/>
    <n v="21.186"/>
    <x v="0"/>
  </r>
  <r>
    <n v="10861"/>
    <s v="White Clover Markets"/>
    <s v="Peacock, Margaret"/>
    <x v="411"/>
    <x v="327"/>
    <x v="2"/>
    <n v="16.422999999999998"/>
    <x v="8"/>
  </r>
  <r>
    <n v="10862"/>
    <s v="Lehmanns Marktstand"/>
    <s v="Callahan, Laura"/>
    <x v="411"/>
    <x v="324"/>
    <x v="2"/>
    <n v="58.552999999999997"/>
    <x v="1"/>
  </r>
  <r>
    <n v="10863"/>
    <s v="HILARIÓN-Abastos"/>
    <s v="Peacock, Margaret"/>
    <x v="412"/>
    <x v="327"/>
    <x v="2"/>
    <n v="33.286000000000001"/>
    <x v="5"/>
  </r>
  <r>
    <n v="10864"/>
    <s v="Around the Horn"/>
    <s v="Peacock, Margaret"/>
    <x v="412"/>
    <x v="328"/>
    <x v="2"/>
    <n v="3.3439999999999999"/>
    <x v="13"/>
  </r>
  <r>
    <n v="10865"/>
    <s v="QUICK-Stop"/>
    <s v="Fuller, Andrew"/>
    <x v="412"/>
    <x v="329"/>
    <x v="1"/>
    <n v="382.95400000000001"/>
    <x v="1"/>
  </r>
  <r>
    <n v="10866"/>
    <s v="Berglunds snabbköp"/>
    <s v="Buchanan, Steven"/>
    <x v="413"/>
    <x v="329"/>
    <x v="1"/>
    <n v="120.021"/>
    <x v="9"/>
  </r>
  <r>
    <n v="10867"/>
    <s v="Lonesome Pine Restaurant"/>
    <s v="Suyama, Michael"/>
    <x v="413"/>
    <x v="330"/>
    <x v="1"/>
    <n v="2.1230000000000002"/>
    <x v="8"/>
  </r>
  <r>
    <n v="10868"/>
    <s v="Queen Cozinha"/>
    <s v="King, Robert"/>
    <x v="414"/>
    <x v="331"/>
    <x v="2"/>
    <n v="210.39699999999999"/>
    <x v="2"/>
  </r>
  <r>
    <n v="10869"/>
    <s v="Seven Seas Imports"/>
    <s v="Buchanan, Steven"/>
    <x v="414"/>
    <x v="328"/>
    <x v="1"/>
    <n v="157.608"/>
    <x v="13"/>
  </r>
  <r>
    <n v="10870"/>
    <s v="Wolski  Zajazd"/>
    <s v="Buchanan, Steven"/>
    <x v="414"/>
    <x v="332"/>
    <x v="0"/>
    <n v="13.244"/>
    <x v="18"/>
  </r>
  <r>
    <n v="10871"/>
    <s v="Bon app'"/>
    <s v="Dodsworth, Anne"/>
    <x v="415"/>
    <x v="323"/>
    <x v="2"/>
    <n v="123.497"/>
    <x v="0"/>
  </r>
  <r>
    <n v="10872"/>
    <s v="Godos Cocina Típica"/>
    <s v="Buchanan, Steven"/>
    <x v="415"/>
    <x v="328"/>
    <x v="2"/>
    <n v="192.852"/>
    <x v="12"/>
  </r>
  <r>
    <n v="10873"/>
    <s v="Wilman Kala"/>
    <s v="Peacock, Margaret"/>
    <x v="416"/>
    <x v="328"/>
    <x v="1"/>
    <n v="0.90200000000000002"/>
    <x v="10"/>
  </r>
  <r>
    <n v="10874"/>
    <s v="Godos Cocina Típica"/>
    <s v="Buchanan, Steven"/>
    <x v="416"/>
    <x v="330"/>
    <x v="2"/>
    <n v="21.538"/>
    <x v="12"/>
  </r>
  <r>
    <n v="10875"/>
    <s v="Berglunds snabbköp"/>
    <s v="Peacock, Margaret"/>
    <x v="416"/>
    <x v="333"/>
    <x v="2"/>
    <n v="35.606999999999999"/>
    <x v="9"/>
  </r>
  <r>
    <n v="10876"/>
    <s v="Bon app'"/>
    <s v="King, Robert"/>
    <x v="417"/>
    <x v="329"/>
    <x v="0"/>
    <n v="66.462000000000003"/>
    <x v="0"/>
  </r>
  <r>
    <n v="10877"/>
    <s v="Ricardo Adocicados"/>
    <s v="Davolio, Nancy"/>
    <x v="417"/>
    <x v="334"/>
    <x v="1"/>
    <n v="41.866"/>
    <x v="2"/>
  </r>
  <r>
    <n v="10878"/>
    <s v="QUICK-Stop"/>
    <s v="Peacock, Margaret"/>
    <x v="418"/>
    <x v="329"/>
    <x v="1"/>
    <n v="51.359000000000002"/>
    <x v="1"/>
  </r>
  <r>
    <n v="10879"/>
    <s v="Wilman Kala"/>
    <s v="Leverling, Janet"/>
    <x v="418"/>
    <x v="329"/>
    <x v="0"/>
    <n v="9.35"/>
    <x v="10"/>
  </r>
  <r>
    <n v="10880"/>
    <s v="Folk och fä HB"/>
    <s v="King, Robert"/>
    <x v="418"/>
    <x v="335"/>
    <x v="1"/>
    <n v="96.811000000000007"/>
    <x v="9"/>
  </r>
  <r>
    <n v="10881"/>
    <s v="Cactus Comidas para llevar"/>
    <s v="Peacock, Margaret"/>
    <x v="419"/>
    <x v="335"/>
    <x v="1"/>
    <n v="3.1240000000000001"/>
    <x v="20"/>
  </r>
  <r>
    <n v="10882"/>
    <s v="Save-a-lot Markets"/>
    <s v="Peacock, Margaret"/>
    <x v="419"/>
    <x v="336"/>
    <x v="0"/>
    <n v="25.41"/>
    <x v="8"/>
  </r>
  <r>
    <n v="10883"/>
    <s v="Lonesome Pine Restaurant"/>
    <s v="Callahan, Laura"/>
    <x v="420"/>
    <x v="336"/>
    <x v="0"/>
    <n v="0.58299999999999996"/>
    <x v="8"/>
  </r>
  <r>
    <n v="10884"/>
    <s v="Let's Stop N Shop"/>
    <s v="Peacock, Margaret"/>
    <x v="420"/>
    <x v="332"/>
    <x v="2"/>
    <n v="100.06699999999999"/>
    <x v="8"/>
  </r>
  <r>
    <n v="10885"/>
    <s v="Suprêmes délices"/>
    <s v="Suyama, Michael"/>
    <x v="420"/>
    <x v="335"/>
    <x v="0"/>
    <n v="6.2039999999999997"/>
    <x v="3"/>
  </r>
  <r>
    <n v="10886"/>
    <s v="Hanari Carnes"/>
    <s v="Davolio, Nancy"/>
    <x v="421"/>
    <x v="337"/>
    <x v="1"/>
    <n v="5.4889999999999999"/>
    <x v="2"/>
  </r>
  <r>
    <n v="10887"/>
    <s v="Galería del gastrónomo"/>
    <s v="Callahan, Laura"/>
    <x v="421"/>
    <x v="320"/>
    <x v="0"/>
    <n v="1.375"/>
    <x v="12"/>
  </r>
  <r>
    <n v="10888"/>
    <s v="Godos Cocina Típica"/>
    <s v="Davolio, Nancy"/>
    <x v="422"/>
    <x v="331"/>
    <x v="2"/>
    <n v="57.057000000000002"/>
    <x v="12"/>
  </r>
  <r>
    <n v="10889"/>
    <s v="Rattlesnake Canyon Grocery"/>
    <s v="Dodsworth, Anne"/>
    <x v="422"/>
    <x v="331"/>
    <x v="0"/>
    <n v="308.67099999999999"/>
    <x v="8"/>
  </r>
  <r>
    <n v="10890"/>
    <s v="Du monde entier"/>
    <s v="King, Robert"/>
    <x v="422"/>
    <x v="335"/>
    <x v="1"/>
    <n v="36.036000000000001"/>
    <x v="0"/>
  </r>
  <r>
    <n v="10891"/>
    <s v="Lehmanns Marktstand"/>
    <s v="King, Robert"/>
    <x v="423"/>
    <x v="334"/>
    <x v="2"/>
    <n v="22.407"/>
    <x v="1"/>
  </r>
  <r>
    <n v="10892"/>
    <s v="Maison Dewey"/>
    <s v="Peacock, Margaret"/>
    <x v="423"/>
    <x v="334"/>
    <x v="2"/>
    <n v="132.297"/>
    <x v="3"/>
  </r>
  <r>
    <n v="10893"/>
    <s v="Königlich Essen"/>
    <s v="Dodsworth, Anne"/>
    <x v="424"/>
    <x v="336"/>
    <x v="2"/>
    <n v="85.558000000000007"/>
    <x v="1"/>
  </r>
  <r>
    <n v="10894"/>
    <s v="Save-a-lot Markets"/>
    <s v="Davolio, Nancy"/>
    <x v="424"/>
    <x v="336"/>
    <x v="1"/>
    <n v="127.74299999999999"/>
    <x v="8"/>
  </r>
  <r>
    <n v="10895"/>
    <s v="Ernst Handel"/>
    <s v="Leverling, Janet"/>
    <x v="424"/>
    <x v="331"/>
    <x v="1"/>
    <n v="179.02500000000001"/>
    <x v="6"/>
  </r>
  <r>
    <n v="10896"/>
    <s v="Maison Dewey"/>
    <s v="King, Robert"/>
    <x v="425"/>
    <x v="338"/>
    <x v="0"/>
    <n v="35.695"/>
    <x v="3"/>
  </r>
  <r>
    <n v="10897"/>
    <s v="Hungry Owl All-Night Grocers"/>
    <s v="Leverling, Janet"/>
    <x v="425"/>
    <x v="339"/>
    <x v="2"/>
    <n v="663.89400000000001"/>
    <x v="14"/>
  </r>
  <r>
    <n v="10898"/>
    <s v="Océano Atlántico Ltda."/>
    <s v="Peacock, Margaret"/>
    <x v="426"/>
    <x v="340"/>
    <x v="2"/>
    <n v="1.397"/>
    <x v="20"/>
  </r>
  <r>
    <n v="10899"/>
    <s v="LILA-Supermercado"/>
    <s v="Buchanan, Steven"/>
    <x v="426"/>
    <x v="341"/>
    <x v="0"/>
    <n v="1.331"/>
    <x v="5"/>
  </r>
  <r>
    <n v="10900"/>
    <s v="Wellington Importadora"/>
    <s v="Davolio, Nancy"/>
    <x v="426"/>
    <x v="342"/>
    <x v="2"/>
    <n v="1.8260000000000001"/>
    <x v="2"/>
  </r>
  <r>
    <n v="10901"/>
    <s v="HILARIÓN-Abastos"/>
    <s v="Peacock, Margaret"/>
    <x v="427"/>
    <x v="341"/>
    <x v="1"/>
    <n v="68.299000000000007"/>
    <x v="5"/>
  </r>
  <r>
    <n v="10902"/>
    <s v="Folk och fä HB"/>
    <s v="Davolio, Nancy"/>
    <x v="427"/>
    <x v="333"/>
    <x v="1"/>
    <n v="48.564999999999998"/>
    <x v="9"/>
  </r>
  <r>
    <n v="10903"/>
    <s v="Hanari Carnes"/>
    <s v="Leverling, Janet"/>
    <x v="428"/>
    <x v="342"/>
    <x v="0"/>
    <n v="40.381"/>
    <x v="2"/>
  </r>
  <r>
    <n v="10904"/>
    <s v="White Clover Markets"/>
    <s v="Leverling, Janet"/>
    <x v="428"/>
    <x v="338"/>
    <x v="0"/>
    <n v="179.245"/>
    <x v="8"/>
  </r>
  <r>
    <n v="10905"/>
    <s v="Wellington Importadora"/>
    <s v="Dodsworth, Anne"/>
    <x v="428"/>
    <x v="340"/>
    <x v="2"/>
    <n v="15.092000000000001"/>
    <x v="2"/>
  </r>
  <r>
    <n v="10906"/>
    <s v="Wolski  Zajazd"/>
    <s v="Peacock, Margaret"/>
    <x v="429"/>
    <x v="333"/>
    <x v="0"/>
    <n v="28.919"/>
    <x v="18"/>
  </r>
  <r>
    <n v="10907"/>
    <s v="Spécialités du monde"/>
    <s v="Suyama, Michael"/>
    <x v="429"/>
    <x v="338"/>
    <x v="0"/>
    <n v="10.109"/>
    <x v="0"/>
  </r>
  <r>
    <n v="10908"/>
    <s v="Reggiani Caseifici"/>
    <s v="Peacock, Margaret"/>
    <x v="430"/>
    <x v="340"/>
    <x v="2"/>
    <n v="36.256"/>
    <x v="11"/>
  </r>
  <r>
    <n v="10909"/>
    <s v="Santé Gourmet"/>
    <s v="Davolio, Nancy"/>
    <x v="430"/>
    <x v="343"/>
    <x v="2"/>
    <n v="58.354999999999997"/>
    <x v="19"/>
  </r>
  <r>
    <n v="10910"/>
    <s v="Wilman Kala"/>
    <s v="Davolio, Nancy"/>
    <x v="430"/>
    <x v="342"/>
    <x v="0"/>
    <n v="41.920999999999999"/>
    <x v="10"/>
  </r>
  <r>
    <n v="10911"/>
    <s v="Godos Cocina Típica"/>
    <s v="Leverling, Janet"/>
    <x v="430"/>
    <x v="344"/>
    <x v="1"/>
    <n v="42.009"/>
    <x v="12"/>
  </r>
  <r>
    <n v="10912"/>
    <s v="Hungry Owl All-Night Grocers"/>
    <s v="Fuller, Andrew"/>
    <x v="430"/>
    <x v="345"/>
    <x v="2"/>
    <n v="639.00099999999998"/>
    <x v="14"/>
  </r>
  <r>
    <n v="10913"/>
    <s v="Queen Cozinha"/>
    <s v="Peacock, Margaret"/>
    <x v="430"/>
    <x v="342"/>
    <x v="1"/>
    <n v="36.354999999999997"/>
    <x v="2"/>
  </r>
  <r>
    <n v="10914"/>
    <s v="Queen Cozinha"/>
    <s v="Suyama, Michael"/>
    <x v="431"/>
    <x v="337"/>
    <x v="1"/>
    <n v="23.309000000000001"/>
    <x v="2"/>
  </r>
  <r>
    <n v="10915"/>
    <s v="Tortuga Restaurante"/>
    <s v="Fuller, Andrew"/>
    <x v="431"/>
    <x v="337"/>
    <x v="2"/>
    <n v="3.8610000000000002"/>
    <x v="7"/>
  </r>
  <r>
    <n v="10916"/>
    <s v="Rancho grande"/>
    <s v="Davolio, Nancy"/>
    <x v="431"/>
    <x v="346"/>
    <x v="2"/>
    <n v="70.147000000000006"/>
    <x v="20"/>
  </r>
  <r>
    <n v="10917"/>
    <s v="Romero y tomillo"/>
    <s v="Peacock, Margaret"/>
    <x v="432"/>
    <x v="347"/>
    <x v="2"/>
    <n v="9.1189999999999998"/>
    <x v="12"/>
  </r>
  <r>
    <n v="10918"/>
    <s v="Bottom-Dollar Markets"/>
    <s v="Leverling, Janet"/>
    <x v="432"/>
    <x v="347"/>
    <x v="0"/>
    <n v="53.713000000000001"/>
    <x v="16"/>
  </r>
  <r>
    <n v="10919"/>
    <s v="LINO-Delicateses"/>
    <s v="Fuller, Andrew"/>
    <x v="432"/>
    <x v="342"/>
    <x v="2"/>
    <n v="21.78"/>
    <x v="5"/>
  </r>
  <r>
    <n v="10920"/>
    <s v="Around the Horn"/>
    <s v="Peacock, Margaret"/>
    <x v="433"/>
    <x v="346"/>
    <x v="2"/>
    <n v="32.570999999999998"/>
    <x v="13"/>
  </r>
  <r>
    <n v="10921"/>
    <s v="Vaffeljernet"/>
    <s v="Davolio, Nancy"/>
    <x v="433"/>
    <x v="346"/>
    <x v="1"/>
    <n v="194.12799999999999"/>
    <x v="17"/>
  </r>
  <r>
    <n v="10922"/>
    <s v="Hanari Carnes"/>
    <s v="Buchanan, Steven"/>
    <x v="433"/>
    <x v="344"/>
    <x v="0"/>
    <n v="69.013999999999996"/>
    <x v="2"/>
  </r>
  <r>
    <n v="10923"/>
    <s v="La maison d'Asie"/>
    <s v="King, Robert"/>
    <x v="433"/>
    <x v="348"/>
    <x v="0"/>
    <n v="75.085999999999999"/>
    <x v="0"/>
  </r>
  <r>
    <n v="10924"/>
    <s v="Berglunds snabbköp"/>
    <s v="Leverling, Janet"/>
    <x v="434"/>
    <x v="349"/>
    <x v="2"/>
    <n v="166.672"/>
    <x v="9"/>
  </r>
  <r>
    <n v="10925"/>
    <s v="Hanari Carnes"/>
    <s v="Leverling, Janet"/>
    <x v="434"/>
    <x v="348"/>
    <x v="1"/>
    <n v="2.4969999999999999"/>
    <x v="2"/>
  </r>
  <r>
    <n v="10926"/>
    <s v="Ana Trujillo Emparedados y helados"/>
    <s v="Peacock, Margaret"/>
    <x v="434"/>
    <x v="347"/>
    <x v="0"/>
    <n v="43.911999999999999"/>
    <x v="7"/>
  </r>
  <r>
    <n v="10927"/>
    <s v="La corne d'abondance"/>
    <s v="Peacock, Margaret"/>
    <x v="435"/>
    <x v="349"/>
    <x v="1"/>
    <n v="21.768999999999998"/>
    <x v="0"/>
  </r>
  <r>
    <n v="10928"/>
    <s v="Galería del gastrónomo"/>
    <s v="Davolio, Nancy"/>
    <x v="435"/>
    <x v="345"/>
    <x v="1"/>
    <n v="1.496"/>
    <x v="12"/>
  </r>
  <r>
    <n v="10929"/>
    <s v="Frankenversand"/>
    <s v="Suyama, Michael"/>
    <x v="435"/>
    <x v="350"/>
    <x v="1"/>
    <n v="37.323"/>
    <x v="1"/>
  </r>
  <r>
    <n v="10930"/>
    <s v="Suprêmes délices"/>
    <s v="Peacock, Margaret"/>
    <x v="436"/>
    <x v="345"/>
    <x v="0"/>
    <n v="17.105"/>
    <x v="3"/>
  </r>
  <r>
    <n v="10931"/>
    <s v="Richter Supermarkt"/>
    <s v="Peacock, Margaret"/>
    <x v="436"/>
    <x v="351"/>
    <x v="2"/>
    <n v="14.96"/>
    <x v="4"/>
  </r>
  <r>
    <n v="10932"/>
    <s v="Bon app'"/>
    <s v="Callahan, Laura"/>
    <x v="436"/>
    <x v="352"/>
    <x v="1"/>
    <n v="148.10400000000001"/>
    <x v="0"/>
  </r>
  <r>
    <n v="10933"/>
    <s v="Island Trading"/>
    <s v="Suyama, Michael"/>
    <x v="436"/>
    <x v="353"/>
    <x v="0"/>
    <n v="59.564999999999998"/>
    <x v="13"/>
  </r>
  <r>
    <n v="10934"/>
    <s v="Lehmanns Marktstand"/>
    <s v="Leverling, Janet"/>
    <x v="437"/>
    <x v="350"/>
    <x v="0"/>
    <n v="35.210999999999999"/>
    <x v="1"/>
  </r>
  <r>
    <n v="10935"/>
    <s v="Wellington Importadora"/>
    <s v="Peacock, Margaret"/>
    <x v="437"/>
    <x v="345"/>
    <x v="0"/>
    <n v="52.348999999999997"/>
    <x v="2"/>
  </r>
  <r>
    <n v="10936"/>
    <s v="Great Lakes Food Market"/>
    <s v="Leverling, Janet"/>
    <x v="437"/>
    <x v="345"/>
    <x v="2"/>
    <n v="37.048000000000002"/>
    <x v="8"/>
  </r>
  <r>
    <n v="10937"/>
    <s v="Cactus Comidas para llevar"/>
    <s v="King, Robert"/>
    <x v="438"/>
    <x v="348"/>
    <x v="0"/>
    <n v="34.661000000000001"/>
    <x v="20"/>
  </r>
  <r>
    <n v="10938"/>
    <s v="QUICK-Stop"/>
    <s v="Leverling, Janet"/>
    <x v="438"/>
    <x v="353"/>
    <x v="2"/>
    <n v="35.079000000000001"/>
    <x v="1"/>
  </r>
  <r>
    <n v="10939"/>
    <s v="Magazzini Alimentari Riuniti"/>
    <s v="Fuller, Andrew"/>
    <x v="438"/>
    <x v="348"/>
    <x v="2"/>
    <n v="83.962999999999994"/>
    <x v="11"/>
  </r>
  <r>
    <n v="10940"/>
    <s v="Bon app'"/>
    <s v="Callahan, Laura"/>
    <x v="439"/>
    <x v="354"/>
    <x v="0"/>
    <n v="21.747"/>
    <x v="0"/>
  </r>
  <r>
    <n v="10941"/>
    <s v="Save-a-lot Markets"/>
    <s v="King, Robert"/>
    <x v="439"/>
    <x v="355"/>
    <x v="2"/>
    <n v="440.89100000000002"/>
    <x v="8"/>
  </r>
  <r>
    <n v="10942"/>
    <s v="Reggiani Caseifici"/>
    <s v="Dodsworth, Anne"/>
    <x v="439"/>
    <x v="345"/>
    <x v="0"/>
    <n v="19.745000000000001"/>
    <x v="11"/>
  </r>
  <r>
    <n v="10943"/>
    <s v="B's Beverages"/>
    <s v="Peacock, Margaret"/>
    <x v="439"/>
    <x v="351"/>
    <x v="2"/>
    <n v="2.387"/>
    <x v="13"/>
  </r>
  <r>
    <n v="10944"/>
    <s v="Bottom-Dollar Markets"/>
    <s v="Suyama, Michael"/>
    <x v="440"/>
    <x v="348"/>
    <x v="0"/>
    <n v="58.212000000000003"/>
    <x v="16"/>
  </r>
  <r>
    <n v="10945"/>
    <s v="Morgenstern Gesundkost"/>
    <s v="Peacock, Margaret"/>
    <x v="440"/>
    <x v="345"/>
    <x v="1"/>
    <n v="11.242000000000001"/>
    <x v="1"/>
  </r>
  <r>
    <n v="10946"/>
    <s v="Vaffeljernet"/>
    <s v="Davolio, Nancy"/>
    <x v="440"/>
    <x v="351"/>
    <x v="2"/>
    <n v="29.92"/>
    <x v="17"/>
  </r>
  <r>
    <n v="10947"/>
    <s v="B's Beverages"/>
    <s v="Leverling, Janet"/>
    <x v="441"/>
    <x v="353"/>
    <x v="2"/>
    <n v="3.5859999999999999"/>
    <x v="13"/>
  </r>
  <r>
    <n v="10948"/>
    <s v="Godos Cocina Típica"/>
    <s v="Leverling, Janet"/>
    <x v="441"/>
    <x v="351"/>
    <x v="0"/>
    <n v="25.728999999999999"/>
    <x v="12"/>
  </r>
  <r>
    <n v="10949"/>
    <s v="Bottom-Dollar Markets"/>
    <s v="Fuller, Andrew"/>
    <x v="441"/>
    <x v="356"/>
    <x v="0"/>
    <n v="81.884"/>
    <x v="16"/>
  </r>
  <r>
    <n v="10950"/>
    <s v="Magazzini Alimentari Riuniti"/>
    <s v="Davolio, Nancy"/>
    <x v="442"/>
    <x v="354"/>
    <x v="2"/>
    <n v="2.75"/>
    <x v="11"/>
  </r>
  <r>
    <n v="10951"/>
    <s v="Richter Supermarkt"/>
    <s v="Dodsworth, Anne"/>
    <x v="442"/>
    <x v="357"/>
    <x v="2"/>
    <n v="33.935000000000002"/>
    <x v="4"/>
  </r>
  <r>
    <n v="10952"/>
    <s v="Alfreds Futterkiste"/>
    <s v="Davolio, Nancy"/>
    <x v="442"/>
    <x v="352"/>
    <x v="1"/>
    <n v="44.462000000000003"/>
    <x v="1"/>
  </r>
  <r>
    <n v="10953"/>
    <s v="Around the Horn"/>
    <s v="Dodsworth, Anne"/>
    <x v="442"/>
    <x v="358"/>
    <x v="2"/>
    <n v="26.091999999999999"/>
    <x v="13"/>
  </r>
  <r>
    <n v="10954"/>
    <s v="LINO-Delicateses"/>
    <s v="Buchanan, Steven"/>
    <x v="443"/>
    <x v="355"/>
    <x v="1"/>
    <n v="30.701000000000001"/>
    <x v="5"/>
  </r>
  <r>
    <n v="10955"/>
    <s v="Folk och fä HB"/>
    <s v="Callahan, Laura"/>
    <x v="443"/>
    <x v="355"/>
    <x v="2"/>
    <n v="3.5859999999999999"/>
    <x v="9"/>
  </r>
  <r>
    <n v="10956"/>
    <s v="Blauer See Delikatessen"/>
    <s v="Suyama, Michael"/>
    <x v="443"/>
    <x v="355"/>
    <x v="2"/>
    <n v="49.115000000000002"/>
    <x v="1"/>
  </r>
  <r>
    <n v="10957"/>
    <s v="HILARIÓN-Abastos"/>
    <s v="Callahan, Laura"/>
    <x v="444"/>
    <x v="359"/>
    <x v="0"/>
    <n v="115.896"/>
    <x v="5"/>
  </r>
  <r>
    <n v="10958"/>
    <s v="Océano Atlántico Ltda."/>
    <s v="King, Robert"/>
    <x v="444"/>
    <x v="359"/>
    <x v="2"/>
    <n v="54.515999999999998"/>
    <x v="20"/>
  </r>
  <r>
    <n v="10959"/>
    <s v="Gourmet Lanchonetes"/>
    <s v="Suyama, Michael"/>
    <x v="444"/>
    <x v="354"/>
    <x v="2"/>
    <n v="5.4779999999999998"/>
    <x v="2"/>
  </r>
  <r>
    <n v="10960"/>
    <s v="HILARIÓN-Abastos"/>
    <s v="Leverling, Janet"/>
    <x v="445"/>
    <x v="349"/>
    <x v="1"/>
    <n v="2.2879999999999998"/>
    <x v="5"/>
  </r>
  <r>
    <n v="10961"/>
    <s v="Queen Cozinha"/>
    <s v="Callahan, Laura"/>
    <x v="445"/>
    <x v="360"/>
    <x v="1"/>
    <n v="114.917"/>
    <x v="2"/>
  </r>
  <r>
    <n v="10962"/>
    <s v="QUICK-Stop"/>
    <s v="Callahan, Laura"/>
    <x v="445"/>
    <x v="354"/>
    <x v="2"/>
    <n v="303.36900000000003"/>
    <x v="1"/>
  </r>
  <r>
    <n v="10963"/>
    <s v="Furia Bacalhau e Frutos do Mar"/>
    <s v="Dodsworth, Anne"/>
    <x v="445"/>
    <x v="361"/>
    <x v="0"/>
    <n v="2.97"/>
    <x v="15"/>
  </r>
  <r>
    <n v="10964"/>
    <s v="Spécialités du monde"/>
    <s v="Leverling, Janet"/>
    <x v="446"/>
    <x v="352"/>
    <x v="2"/>
    <n v="96.117999999999995"/>
    <x v="0"/>
  </r>
  <r>
    <n v="10965"/>
    <s v="Old World Delicatessen"/>
    <s v="Suyama, Michael"/>
    <x v="446"/>
    <x v="360"/>
    <x v="0"/>
    <n v="158.81800000000001"/>
    <x v="8"/>
  </r>
  <r>
    <n v="10966"/>
    <s v="Chop-suey Chinese"/>
    <s v="Peacock, Margaret"/>
    <x v="446"/>
    <x v="349"/>
    <x v="1"/>
    <n v="29.908999999999999"/>
    <x v="4"/>
  </r>
  <r>
    <n v="10967"/>
    <s v="Toms Spezialitäten"/>
    <s v="Fuller, Andrew"/>
    <x v="447"/>
    <x v="362"/>
    <x v="2"/>
    <n v="68.441999999999993"/>
    <x v="1"/>
  </r>
  <r>
    <n v="10968"/>
    <s v="Ernst Handel"/>
    <s v="Davolio, Nancy"/>
    <x v="447"/>
    <x v="363"/>
    <x v="0"/>
    <n v="82.06"/>
    <x v="6"/>
  </r>
  <r>
    <n v="10969"/>
    <s v="Comércio Mineiro"/>
    <s v="Davolio, Nancy"/>
    <x v="447"/>
    <x v="360"/>
    <x v="2"/>
    <n v="0.23100000000000001"/>
    <x v="2"/>
  </r>
  <r>
    <n v="10970"/>
    <s v="Bólido Comidas preparadas"/>
    <s v="Dodsworth, Anne"/>
    <x v="448"/>
    <x v="364"/>
    <x v="1"/>
    <n v="17.776"/>
    <x v="12"/>
  </r>
  <r>
    <n v="10971"/>
    <s v="France restauration"/>
    <s v="Fuller, Andrew"/>
    <x v="448"/>
    <x v="362"/>
    <x v="2"/>
    <n v="134.00200000000001"/>
    <x v="0"/>
  </r>
  <r>
    <n v="10972"/>
    <s v="La corne d'abondance"/>
    <s v="Peacock, Margaret"/>
    <x v="448"/>
    <x v="361"/>
    <x v="2"/>
    <n v="2.1999999999999999E-2"/>
    <x v="0"/>
  </r>
  <r>
    <n v="10973"/>
    <s v="La corne d'abondance"/>
    <s v="Suyama, Michael"/>
    <x v="448"/>
    <x v="359"/>
    <x v="2"/>
    <n v="16.687000000000001"/>
    <x v="0"/>
  </r>
  <r>
    <n v="10974"/>
    <s v="Split Rail Beer &amp; Ale"/>
    <s v="Leverling, Janet"/>
    <x v="449"/>
    <x v="365"/>
    <x v="0"/>
    <n v="14.256"/>
    <x v="8"/>
  </r>
  <r>
    <n v="10975"/>
    <s v="Bottom-Dollar Markets"/>
    <s v="Davolio, Nancy"/>
    <x v="449"/>
    <x v="359"/>
    <x v="0"/>
    <n v="35.497"/>
    <x v="16"/>
  </r>
  <r>
    <n v="10976"/>
    <s v="HILARIÓN-Abastos"/>
    <s v="Davolio, Nancy"/>
    <x v="449"/>
    <x v="365"/>
    <x v="1"/>
    <n v="41.767000000000003"/>
    <x v="5"/>
  </r>
  <r>
    <n v="10977"/>
    <s v="Folk och fä HB"/>
    <s v="Callahan, Laura"/>
    <x v="450"/>
    <x v="366"/>
    <x v="0"/>
    <n v="229.35"/>
    <x v="9"/>
  </r>
  <r>
    <n v="10978"/>
    <s v="Maison Dewey"/>
    <s v="Dodsworth, Anne"/>
    <x v="450"/>
    <x v="367"/>
    <x v="2"/>
    <n v="36.101999999999997"/>
    <x v="3"/>
  </r>
  <r>
    <n v="10979"/>
    <s v="Ernst Handel"/>
    <s v="Callahan, Laura"/>
    <x v="450"/>
    <x v="368"/>
    <x v="2"/>
    <n v="388.37700000000001"/>
    <x v="6"/>
  </r>
  <r>
    <n v="10980"/>
    <s v="Folk och fä HB"/>
    <s v="Peacock, Margaret"/>
    <x v="451"/>
    <x v="369"/>
    <x v="1"/>
    <n v="1.3859999999999999"/>
    <x v="9"/>
  </r>
  <r>
    <n v="10981"/>
    <s v="Hanari Carnes"/>
    <s v="Davolio, Nancy"/>
    <x v="451"/>
    <x v="362"/>
    <x v="2"/>
    <n v="212.70699999999999"/>
    <x v="2"/>
  </r>
  <r>
    <n v="10982"/>
    <s v="Bottom-Dollar Markets"/>
    <s v="Fuller, Andrew"/>
    <x v="451"/>
    <x v="349"/>
    <x v="1"/>
    <n v="15.411"/>
    <x v="16"/>
  </r>
  <r>
    <n v="10983"/>
    <s v="Save-a-lot Markets"/>
    <s v="Fuller, Andrew"/>
    <x v="451"/>
    <x v="370"/>
    <x v="2"/>
    <n v="723.29399999999998"/>
    <x v="8"/>
  </r>
  <r>
    <n v="10984"/>
    <s v="Save-a-lot Markets"/>
    <s v="Davolio, Nancy"/>
    <x v="452"/>
    <x v="365"/>
    <x v="0"/>
    <n v="232.34200000000001"/>
    <x v="8"/>
  </r>
  <r>
    <n v="10985"/>
    <s v="Hungry Owl All-Night Grocers"/>
    <s v="Fuller, Andrew"/>
    <x v="452"/>
    <x v="362"/>
    <x v="1"/>
    <n v="100.661"/>
    <x v="14"/>
  </r>
  <r>
    <n v="10986"/>
    <s v="Océano Atlántico Ltda."/>
    <s v="Callahan, Laura"/>
    <x v="452"/>
    <x v="371"/>
    <x v="2"/>
    <n v="239.64599999999999"/>
    <x v="20"/>
  </r>
  <r>
    <n v="10987"/>
    <s v="Eastern Connection"/>
    <s v="Callahan, Laura"/>
    <x v="453"/>
    <x v="370"/>
    <x v="1"/>
    <n v="204.02799999999999"/>
    <x v="13"/>
  </r>
  <r>
    <n v="10988"/>
    <s v="Rattlesnake Canyon Grocery"/>
    <s v="Leverling, Janet"/>
    <x v="453"/>
    <x v="366"/>
    <x v="2"/>
    <n v="67.254000000000005"/>
    <x v="8"/>
  </r>
  <r>
    <n v="10989"/>
    <s v="Que Delícia"/>
    <s v="Fuller, Andrew"/>
    <x v="453"/>
    <x v="362"/>
    <x v="1"/>
    <n v="38.235999999999997"/>
    <x v="2"/>
  </r>
  <r>
    <n v="10990"/>
    <s v="Ernst Handel"/>
    <s v="Fuller, Andrew"/>
    <x v="454"/>
    <x v="357"/>
    <x v="0"/>
    <n v="129.37100000000001"/>
    <x v="6"/>
  </r>
  <r>
    <n v="10991"/>
    <s v="QUICK-Stop"/>
    <s v="Davolio, Nancy"/>
    <x v="454"/>
    <x v="357"/>
    <x v="1"/>
    <n v="42.360999999999997"/>
    <x v="1"/>
  </r>
  <r>
    <n v="10992"/>
    <s v="The Big Cheese"/>
    <s v="Davolio, Nancy"/>
    <x v="454"/>
    <x v="365"/>
    <x v="0"/>
    <n v="4.6970000000000001"/>
    <x v="8"/>
  </r>
  <r>
    <n v="10993"/>
    <s v="Folk och fä HB"/>
    <s v="King, Robert"/>
    <x v="454"/>
    <x v="366"/>
    <x v="0"/>
    <n v="9.6910000000000007"/>
    <x v="9"/>
  </r>
  <r>
    <n v="10994"/>
    <s v="Vaffeljernet"/>
    <s v="Fuller, Andrew"/>
    <x v="455"/>
    <x v="372"/>
    <x v="0"/>
    <n v="72.082999999999998"/>
    <x v="17"/>
  </r>
  <r>
    <n v="10995"/>
    <s v="Pericles Comidas clásicas"/>
    <s v="Davolio, Nancy"/>
    <x v="455"/>
    <x v="370"/>
    <x v="0"/>
    <n v="50.6"/>
    <x v="7"/>
  </r>
  <r>
    <n v="10996"/>
    <s v="QUICK-Stop"/>
    <s v="Peacock, Margaret"/>
    <x v="455"/>
    <x v="366"/>
    <x v="2"/>
    <n v="1.232"/>
    <x v="1"/>
  </r>
  <r>
    <n v="10997"/>
    <s v="LILA-Supermercado"/>
    <s v="Callahan, Laura"/>
    <x v="456"/>
    <x v="373"/>
    <x v="2"/>
    <n v="81.301000000000002"/>
    <x v="5"/>
  </r>
  <r>
    <n v="10998"/>
    <s v="Wolski  Zajazd"/>
    <s v="Callahan, Laura"/>
    <x v="456"/>
    <x v="369"/>
    <x v="2"/>
    <n v="22.341000000000001"/>
    <x v="18"/>
  </r>
  <r>
    <n v="10999"/>
    <s v="Ottilies Käseladen"/>
    <s v="Suyama, Michael"/>
    <x v="456"/>
    <x v="366"/>
    <x v="2"/>
    <n v="105.985"/>
    <x v="1"/>
  </r>
  <r>
    <n v="11000"/>
    <s v="Rattlesnake Canyon Grocery"/>
    <s v="Fuller, Andrew"/>
    <x v="457"/>
    <x v="374"/>
    <x v="0"/>
    <n v="60.631999999999998"/>
    <x v="8"/>
  </r>
  <r>
    <n v="11001"/>
    <s v="Folk och fä HB"/>
    <s v="Fuller, Andrew"/>
    <x v="457"/>
    <x v="374"/>
    <x v="2"/>
    <n v="217.03"/>
    <x v="9"/>
  </r>
  <r>
    <n v="11002"/>
    <s v="Save-a-lot Markets"/>
    <s v="Peacock, Margaret"/>
    <x v="457"/>
    <x v="375"/>
    <x v="1"/>
    <n v="155.27600000000001"/>
    <x v="8"/>
  </r>
  <r>
    <n v="11003"/>
    <s v="The Cracker Box"/>
    <s v="Leverling, Janet"/>
    <x v="457"/>
    <x v="349"/>
    <x v="0"/>
    <n v="16.401"/>
    <x v="8"/>
  </r>
  <r>
    <n v="11004"/>
    <s v="Maison Dewey"/>
    <s v="Leverling, Janet"/>
    <x v="458"/>
    <x v="376"/>
    <x v="1"/>
    <n v="49.323999999999998"/>
    <x v="3"/>
  </r>
  <r>
    <n v="11005"/>
    <s v="Wilman Kala"/>
    <s v="Fuller, Andrew"/>
    <x v="458"/>
    <x v="366"/>
    <x v="1"/>
    <n v="0.82499999999999996"/>
    <x v="10"/>
  </r>
  <r>
    <n v="11006"/>
    <s v="Great Lakes Food Market"/>
    <s v="Leverling, Janet"/>
    <x v="458"/>
    <x v="377"/>
    <x v="2"/>
    <n v="27.709"/>
    <x v="8"/>
  </r>
  <r>
    <n v="11007"/>
    <s v="Princesa Isabel Vinhos"/>
    <s v="Callahan, Laura"/>
    <x v="459"/>
    <x v="373"/>
    <x v="2"/>
    <n v="222.464"/>
    <x v="15"/>
  </r>
  <r>
    <n v="11008"/>
    <s v="Ernst Handel"/>
    <s v="King, Robert"/>
    <x v="459"/>
    <x v="378"/>
    <x v="0"/>
    <n v="87.406000000000006"/>
    <x v="6"/>
  </r>
  <r>
    <n v="11009"/>
    <s v="Godos Cocina Típica"/>
    <s v="Fuller, Andrew"/>
    <x v="459"/>
    <x v="366"/>
    <x v="1"/>
    <n v="65.021000000000001"/>
    <x v="12"/>
  </r>
  <r>
    <n v="11010"/>
    <s v="Reggiani Caseifici"/>
    <s v="Fuller, Andrew"/>
    <x v="460"/>
    <x v="371"/>
    <x v="2"/>
    <n v="31.581"/>
    <x v="11"/>
  </r>
  <r>
    <n v="11011"/>
    <s v="Alfreds Futterkiste"/>
    <s v="Leverling, Janet"/>
    <x v="460"/>
    <x v="373"/>
    <x v="1"/>
    <n v="1.331"/>
    <x v="1"/>
  </r>
  <r>
    <n v="11012"/>
    <s v="Frankenversand"/>
    <s v="Davolio, Nancy"/>
    <x v="460"/>
    <x v="369"/>
    <x v="0"/>
    <n v="267.245"/>
    <x v="1"/>
  </r>
  <r>
    <n v="11013"/>
    <s v="Romero y tomillo"/>
    <s v="Fuller, Andrew"/>
    <x v="460"/>
    <x v="366"/>
    <x v="1"/>
    <n v="36.289000000000001"/>
    <x v="12"/>
  </r>
  <r>
    <n v="11014"/>
    <s v="LINO-Delicateses"/>
    <s v="Fuller, Andrew"/>
    <x v="461"/>
    <x v="377"/>
    <x v="0"/>
    <n v="25.96"/>
    <x v="5"/>
  </r>
  <r>
    <n v="11015"/>
    <s v="Santé Gourmet"/>
    <s v="Fuller, Andrew"/>
    <x v="461"/>
    <x v="376"/>
    <x v="2"/>
    <n v="5.0819999999999999"/>
    <x v="19"/>
  </r>
  <r>
    <n v="11016"/>
    <s v="Around the Horn"/>
    <s v="Dodsworth, Anne"/>
    <x v="461"/>
    <x v="373"/>
    <x v="2"/>
    <n v="37.18"/>
    <x v="13"/>
  </r>
  <r>
    <n v="11017"/>
    <s v="Ernst Handel"/>
    <s v="Dodsworth, Anne"/>
    <x v="462"/>
    <x v="376"/>
    <x v="2"/>
    <n v="829.68600000000004"/>
    <x v="6"/>
  </r>
  <r>
    <n v="11018"/>
    <s v="Lonesome Pine Restaurant"/>
    <s v="Peacock, Margaret"/>
    <x v="462"/>
    <x v="375"/>
    <x v="2"/>
    <n v="12.815"/>
    <x v="8"/>
  </r>
  <r>
    <n v="11019"/>
    <s v="Rancho grande"/>
    <s v="Suyama, Michael"/>
    <x v="462"/>
    <x v="378"/>
    <x v="0"/>
    <n v="3.4870000000000001"/>
    <x v="20"/>
  </r>
  <r>
    <n v="11020"/>
    <s v="Ottilies Käseladen"/>
    <s v="Fuller, Andrew"/>
    <x v="463"/>
    <x v="375"/>
    <x v="2"/>
    <n v="47.63"/>
    <x v="1"/>
  </r>
  <r>
    <n v="11021"/>
    <s v="QUICK-Stop"/>
    <s v="Leverling, Janet"/>
    <x v="463"/>
    <x v="371"/>
    <x v="1"/>
    <n v="326.89800000000002"/>
    <x v="1"/>
  </r>
  <r>
    <n v="11022"/>
    <s v="Hanari Carnes"/>
    <s v="Dodsworth, Anne"/>
    <x v="463"/>
    <x v="379"/>
    <x v="2"/>
    <n v="6.8970000000000002"/>
    <x v="2"/>
  </r>
  <r>
    <n v="11023"/>
    <s v="B's Beverages"/>
    <s v="Davolio, Nancy"/>
    <x v="463"/>
    <x v="364"/>
    <x v="2"/>
    <n v="136.21299999999999"/>
    <x v="13"/>
  </r>
  <r>
    <n v="11024"/>
    <s v="Eastern Connection"/>
    <s v="Peacock, Margaret"/>
    <x v="464"/>
    <x v="376"/>
    <x v="1"/>
    <n v="81.796000000000006"/>
    <x v="13"/>
  </r>
  <r>
    <n v="11025"/>
    <s v="Wartian Herkku"/>
    <s v="Suyama, Michael"/>
    <x v="464"/>
    <x v="364"/>
    <x v="0"/>
    <n v="32.087000000000003"/>
    <x v="10"/>
  </r>
  <r>
    <n v="11026"/>
    <s v="Franchi S.p.A."/>
    <s v="Peacock, Margaret"/>
    <x v="464"/>
    <x v="380"/>
    <x v="1"/>
    <n v="51.798999999999999"/>
    <x v="11"/>
  </r>
  <r>
    <n v="11027"/>
    <s v="Bottom-Dollar Markets"/>
    <s v="Davolio, Nancy"/>
    <x v="465"/>
    <x v="376"/>
    <x v="1"/>
    <n v="57.771999999999998"/>
    <x v="16"/>
  </r>
  <r>
    <n v="11028"/>
    <s v="Königlich Essen"/>
    <s v="Fuller, Andrew"/>
    <x v="465"/>
    <x v="381"/>
    <x v="1"/>
    <n v="32.548999999999999"/>
    <x v="1"/>
  </r>
  <r>
    <n v="11029"/>
    <s v="Chop-suey Chinese"/>
    <s v="Peacock, Margaret"/>
    <x v="465"/>
    <x v="382"/>
    <x v="1"/>
    <n v="52.624000000000002"/>
    <x v="4"/>
  </r>
  <r>
    <n v="11030"/>
    <s v="Save-a-lot Markets"/>
    <s v="King, Robert"/>
    <x v="466"/>
    <x v="382"/>
    <x v="2"/>
    <n v="913.82500000000005"/>
    <x v="8"/>
  </r>
  <r>
    <n v="11031"/>
    <s v="Save-a-lot Markets"/>
    <s v="Suyama, Michael"/>
    <x v="466"/>
    <x v="364"/>
    <x v="2"/>
    <n v="249.94200000000001"/>
    <x v="8"/>
  </r>
  <r>
    <n v="11032"/>
    <s v="White Clover Markets"/>
    <s v="Fuller, Andrew"/>
    <x v="466"/>
    <x v="367"/>
    <x v="0"/>
    <n v="666.80899999999997"/>
    <x v="8"/>
  </r>
  <r>
    <n v="11033"/>
    <s v="Richter Supermarkt"/>
    <s v="King, Robert"/>
    <x v="466"/>
    <x v="367"/>
    <x v="0"/>
    <n v="93.213999999999999"/>
    <x v="4"/>
  </r>
  <r>
    <n v="11034"/>
    <s v="Old World Delicatessen"/>
    <s v="Callahan, Laura"/>
    <x v="467"/>
    <x v="382"/>
    <x v="1"/>
    <n v="44.351999999999997"/>
    <x v="8"/>
  </r>
  <r>
    <n v="11035"/>
    <s v="Suprêmes délices"/>
    <s v="Fuller, Andrew"/>
    <x v="467"/>
    <x v="364"/>
    <x v="2"/>
    <n v="0.187"/>
    <x v="3"/>
  </r>
  <r>
    <n v="11036"/>
    <s v="Drachenblut Delikatessen"/>
    <s v="Callahan, Laura"/>
    <x v="467"/>
    <x v="381"/>
    <x v="0"/>
    <n v="164.417"/>
    <x v="1"/>
  </r>
  <r>
    <n v="11037"/>
    <s v="Godos Cocina Típica"/>
    <s v="King, Robert"/>
    <x v="468"/>
    <x v="382"/>
    <x v="1"/>
    <n v="3.52"/>
    <x v="12"/>
  </r>
  <r>
    <n v="11038"/>
    <s v="Suprêmes délices"/>
    <s v="Davolio, Nancy"/>
    <x v="468"/>
    <x v="383"/>
    <x v="2"/>
    <n v="32.548999999999999"/>
    <x v="3"/>
  </r>
  <r>
    <n v="11039"/>
    <s v="LINO-Delicateses"/>
    <s v="Davolio, Nancy"/>
    <x v="468"/>
    <x v="378"/>
    <x v="2"/>
    <n v="71.5"/>
    <x v="5"/>
  </r>
  <r>
    <n v="11040"/>
    <s v="Great Lakes Food Market"/>
    <s v="Peacock, Margaret"/>
    <x v="469"/>
    <x v="378"/>
    <x v="0"/>
    <n v="20.724"/>
    <x v="8"/>
  </r>
  <r>
    <n v="11041"/>
    <s v="Chop-suey Chinese"/>
    <s v="Leverling, Janet"/>
    <x v="469"/>
    <x v="380"/>
    <x v="2"/>
    <n v="53.042000000000002"/>
    <x v="4"/>
  </r>
  <r>
    <n v="11042"/>
    <s v="Comércio Mineiro"/>
    <s v="Fuller, Andrew"/>
    <x v="469"/>
    <x v="384"/>
    <x v="1"/>
    <n v="32.988999999999997"/>
    <x v="2"/>
  </r>
  <r>
    <n v="11043"/>
    <s v="Spécialités du monde"/>
    <s v="Buchanan, Steven"/>
    <x v="469"/>
    <x v="385"/>
    <x v="2"/>
    <n v="9.68"/>
    <x v="0"/>
  </r>
  <r>
    <n v="11044"/>
    <s v="Wolski  Zajazd"/>
    <s v="Peacock, Margaret"/>
    <x v="470"/>
    <x v="384"/>
    <x v="1"/>
    <n v="9.5920000000000005"/>
    <x v="18"/>
  </r>
  <r>
    <n v="11045"/>
    <s v="Bottom-Dollar Markets"/>
    <s v="Suyama, Michael"/>
    <x v="470"/>
    <x v="378"/>
    <x v="2"/>
    <n v="77.638000000000005"/>
    <x v="16"/>
  </r>
  <r>
    <n v="11046"/>
    <s v="Die Wandernde Kuh"/>
    <s v="Callahan, Laura"/>
    <x v="470"/>
    <x v="364"/>
    <x v="2"/>
    <n v="78.804000000000002"/>
    <x v="1"/>
  </r>
  <r>
    <n v="11047"/>
    <s v="Eastern Connection"/>
    <s v="King, Robert"/>
    <x v="471"/>
    <x v="384"/>
    <x v="0"/>
    <n v="51.281999999999996"/>
    <x v="13"/>
  </r>
  <r>
    <n v="11048"/>
    <s v="Bottom-Dollar Markets"/>
    <s v="King, Robert"/>
    <x v="471"/>
    <x v="383"/>
    <x v="0"/>
    <n v="26.532"/>
    <x v="16"/>
  </r>
  <r>
    <n v="11049"/>
    <s v="Gourmet Lanchonetes"/>
    <s v="Leverling, Janet"/>
    <x v="471"/>
    <x v="379"/>
    <x v="1"/>
    <n v="9.1739999999999995"/>
    <x v="2"/>
  </r>
  <r>
    <n v="11050"/>
    <s v="Folk och fä HB"/>
    <s v="Callahan, Laura"/>
    <x v="472"/>
    <x v="386"/>
    <x v="2"/>
    <n v="65.350999999999999"/>
    <x v="9"/>
  </r>
  <r>
    <n v="11051"/>
    <s v="La maison d'Asie"/>
    <s v="King, Robert"/>
    <x v="472"/>
    <x v="378"/>
    <x v="0"/>
    <n v="3.069"/>
    <x v="0"/>
  </r>
  <r>
    <n v="11052"/>
    <s v="Hanari Carnes"/>
    <s v="Leverling, Janet"/>
    <x v="472"/>
    <x v="384"/>
    <x v="1"/>
    <n v="73.986000000000004"/>
    <x v="2"/>
  </r>
  <r>
    <n v="11053"/>
    <s v="Piccolo und mehr"/>
    <s v="Fuller, Andrew"/>
    <x v="472"/>
    <x v="385"/>
    <x v="2"/>
    <n v="58.354999999999997"/>
    <x v="6"/>
  </r>
  <r>
    <n v="11054"/>
    <s v="Cactus Comidas para llevar"/>
    <s v="Callahan, Laura"/>
    <x v="473"/>
    <x v="378"/>
    <x v="1"/>
    <n v="0.36299999999999999"/>
    <x v="20"/>
  </r>
  <r>
    <n v="11055"/>
    <s v="HILARIÓN-Abastos"/>
    <s v="King, Robert"/>
    <x v="473"/>
    <x v="386"/>
    <x v="2"/>
    <n v="133.012"/>
    <x v="5"/>
  </r>
  <r>
    <n v="11056"/>
    <s v="Eastern Connection"/>
    <s v="Callahan, Laura"/>
    <x v="473"/>
    <x v="384"/>
    <x v="2"/>
    <n v="306.85599999999999"/>
    <x v="13"/>
  </r>
  <r>
    <n v="11057"/>
    <s v="North/South"/>
    <s v="Leverling, Janet"/>
    <x v="474"/>
    <x v="384"/>
    <x v="0"/>
    <n v="4.5430000000000001"/>
    <x v="13"/>
  </r>
  <r>
    <n v="11058"/>
    <s v="Blauer See Delikatessen"/>
    <s v="Dodsworth, Anne"/>
    <x v="474"/>
    <x v="378"/>
    <x v="0"/>
    <n v="34.253999999999998"/>
    <x v="1"/>
  </r>
  <r>
    <n v="11059"/>
    <s v="Ricardo Adocicados"/>
    <s v="Fuller, Andrew"/>
    <x v="474"/>
    <x v="378"/>
    <x v="2"/>
    <n v="94.38"/>
    <x v="2"/>
  </r>
  <r>
    <n v="11060"/>
    <s v="Franchi S.p.A."/>
    <s v="Fuller, Andrew"/>
    <x v="475"/>
    <x v="379"/>
    <x v="2"/>
    <n v="12.077999999999999"/>
    <x v="11"/>
  </r>
  <r>
    <n v="11061"/>
    <s v="Great Lakes Food Market"/>
    <s v="Peacock, Margaret"/>
    <x v="475"/>
    <x v="378"/>
    <x v="0"/>
    <n v="15.411"/>
    <x v="8"/>
  </r>
  <r>
    <n v="11062"/>
    <s v="Reggiani Caseifici"/>
    <s v="Peacock, Margaret"/>
    <x v="475"/>
    <x v="378"/>
    <x v="2"/>
    <n v="32.923000000000002"/>
    <x v="11"/>
  </r>
  <r>
    <n v="11063"/>
    <s v="Hungry Owl All-Night Grocers"/>
    <s v="Leverling, Janet"/>
    <x v="475"/>
    <x v="387"/>
    <x v="2"/>
    <n v="89.903000000000006"/>
    <x v="14"/>
  </r>
  <r>
    <n v="11064"/>
    <s v="Save-a-lot Markets"/>
    <s v="Davolio, Nancy"/>
    <x v="476"/>
    <x v="379"/>
    <x v="1"/>
    <n v="33.098999999999997"/>
    <x v="8"/>
  </r>
  <r>
    <n v="11065"/>
    <s v="LILA-Supermercado"/>
    <s v="Callahan, Laura"/>
    <x v="476"/>
    <x v="378"/>
    <x v="1"/>
    <n v="14.201000000000001"/>
    <x v="5"/>
  </r>
  <r>
    <n v="11066"/>
    <s v="White Clover Markets"/>
    <s v="King, Robert"/>
    <x v="476"/>
    <x v="379"/>
    <x v="2"/>
    <n v="49.192"/>
    <x v="8"/>
  </r>
  <r>
    <n v="11067"/>
    <s v="Drachenblut Delikatessen"/>
    <s v="Davolio, Nancy"/>
    <x v="477"/>
    <x v="387"/>
    <x v="2"/>
    <n v="8.7780000000000005"/>
    <x v="1"/>
  </r>
  <r>
    <n v="11068"/>
    <s v="Queen Cozinha"/>
    <s v="Callahan, Laura"/>
    <x v="477"/>
    <x v="378"/>
    <x v="2"/>
    <n v="89.924999999999997"/>
    <x v="2"/>
  </r>
  <r>
    <n v="11069"/>
    <s v="Tortuga Restaurante"/>
    <s v="Davolio, Nancy"/>
    <x v="477"/>
    <x v="387"/>
    <x v="2"/>
    <n v="17.236999999999998"/>
    <x v="7"/>
  </r>
  <r>
    <n v="11070"/>
    <s v="Lehmanns Marktstand"/>
    <s v="Fuller, Andrew"/>
    <x v="478"/>
    <x v="378"/>
    <x v="1"/>
    <n v="149.6"/>
    <x v="1"/>
  </r>
  <r>
    <n v="11071"/>
    <s v="LILA-Supermercado"/>
    <s v="Davolio, Nancy"/>
    <x v="478"/>
    <x v="378"/>
    <x v="1"/>
    <n v="1.0229999999999999"/>
    <x v="5"/>
  </r>
  <r>
    <n v="11072"/>
    <s v="Ernst Handel"/>
    <s v="Peacock, Margaret"/>
    <x v="478"/>
    <x v="378"/>
    <x v="2"/>
    <n v="284.50400000000002"/>
    <x v="6"/>
  </r>
  <r>
    <n v="11073"/>
    <s v="Pericles Comidas clásicas"/>
    <s v="Fuller, Andrew"/>
    <x v="478"/>
    <x v="378"/>
    <x v="2"/>
    <n v="27.445"/>
    <x v="7"/>
  </r>
  <r>
    <n v="11074"/>
    <s v="Simons bistro"/>
    <s v="King, Robert"/>
    <x v="479"/>
    <x v="378"/>
    <x v="2"/>
    <n v="20.283999999999999"/>
    <x v="17"/>
  </r>
  <r>
    <n v="11075"/>
    <s v="Richter Supermarkt"/>
    <s v="Callahan, Laura"/>
    <x v="479"/>
    <x v="378"/>
    <x v="2"/>
    <n v="6.8090000000000002"/>
    <x v="4"/>
  </r>
  <r>
    <n v="11076"/>
    <s v="Bon app'"/>
    <s v="Peacock, Margaret"/>
    <x v="479"/>
    <x v="378"/>
    <x v="2"/>
    <n v="42.107999999999997"/>
    <x v="0"/>
  </r>
  <r>
    <n v="11077"/>
    <s v="Rattlesnake Canyon Grocery"/>
    <s v="Davolio, Nancy"/>
    <x v="479"/>
    <x v="378"/>
    <x v="2"/>
    <n v="9.3829999999999991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">
  <r>
    <n v="10248"/>
    <x v="0"/>
    <s v="Buchanan, Steven"/>
    <x v="0"/>
    <d v="1996-07-16T00:00:00"/>
    <x v="0"/>
    <x v="0"/>
    <x v="0"/>
  </r>
  <r>
    <n v="10249"/>
    <x v="1"/>
    <s v="Suyama, Michael"/>
    <x v="1"/>
    <d v="1996-07-10T00:00:00"/>
    <x v="1"/>
    <x v="1"/>
    <x v="1"/>
  </r>
  <r>
    <n v="10250"/>
    <x v="2"/>
    <s v="Peacock, Margaret"/>
    <x v="2"/>
    <d v="1996-07-12T00:00:00"/>
    <x v="2"/>
    <x v="2"/>
    <x v="2"/>
  </r>
  <r>
    <n v="10251"/>
    <x v="3"/>
    <s v="Leverling, Janet"/>
    <x v="2"/>
    <d v="1996-07-15T00:00:00"/>
    <x v="1"/>
    <x v="3"/>
    <x v="0"/>
  </r>
  <r>
    <n v="10252"/>
    <x v="4"/>
    <s v="Peacock, Margaret"/>
    <x v="3"/>
    <d v="1996-07-11T00:00:00"/>
    <x v="2"/>
    <x v="4"/>
    <x v="3"/>
  </r>
  <r>
    <n v="10253"/>
    <x v="2"/>
    <s v="Leverling, Janet"/>
    <x v="4"/>
    <d v="1996-07-16T00:00:00"/>
    <x v="2"/>
    <x v="5"/>
    <x v="2"/>
  </r>
  <r>
    <n v="10254"/>
    <x v="5"/>
    <s v="Buchanan, Steven"/>
    <x v="5"/>
    <d v="1996-07-23T00:00:00"/>
    <x v="1"/>
    <x v="6"/>
    <x v="4"/>
  </r>
  <r>
    <n v="10255"/>
    <x v="6"/>
    <s v="Dodsworth, Anne"/>
    <x v="6"/>
    <d v="1996-07-15T00:00:00"/>
    <x v="0"/>
    <x v="7"/>
    <x v="4"/>
  </r>
  <r>
    <n v="10256"/>
    <x v="7"/>
    <s v="Leverling, Janet"/>
    <x v="7"/>
    <d v="1996-07-17T00:00:00"/>
    <x v="2"/>
    <x v="8"/>
    <x v="2"/>
  </r>
  <r>
    <n v="10257"/>
    <x v="8"/>
    <s v="Peacock, Margaret"/>
    <x v="8"/>
    <d v="1996-07-22T00:00:00"/>
    <x v="0"/>
    <x v="9"/>
    <x v="5"/>
  </r>
  <r>
    <n v="10258"/>
    <x v="9"/>
    <s v="Davolio, Nancy"/>
    <x v="9"/>
    <d v="1996-07-23T00:00:00"/>
    <x v="1"/>
    <x v="10"/>
    <x v="6"/>
  </r>
  <r>
    <n v="10259"/>
    <x v="10"/>
    <s v="Peacock, Margaret"/>
    <x v="10"/>
    <d v="1996-07-25T00:00:00"/>
    <x v="0"/>
    <x v="11"/>
    <x v="7"/>
  </r>
  <r>
    <n v="10260"/>
    <x v="11"/>
    <s v="Peacock, Margaret"/>
    <x v="11"/>
    <d v="1996-07-29T00:00:00"/>
    <x v="1"/>
    <x v="12"/>
    <x v="1"/>
  </r>
  <r>
    <n v="10261"/>
    <x v="12"/>
    <s v="Peacock, Margaret"/>
    <x v="11"/>
    <d v="1996-07-30T00:00:00"/>
    <x v="2"/>
    <x v="13"/>
    <x v="2"/>
  </r>
  <r>
    <n v="10262"/>
    <x v="13"/>
    <s v="Callahan, Laura"/>
    <x v="12"/>
    <d v="1996-07-25T00:00:00"/>
    <x v="0"/>
    <x v="14"/>
    <x v="8"/>
  </r>
  <r>
    <n v="10263"/>
    <x v="9"/>
    <s v="Dodsworth, Anne"/>
    <x v="13"/>
    <d v="1996-07-31T00:00:00"/>
    <x v="0"/>
    <x v="15"/>
    <x v="6"/>
  </r>
  <r>
    <n v="10264"/>
    <x v="14"/>
    <s v="Suyama, Michael"/>
    <x v="14"/>
    <d v="1996-08-23T00:00:00"/>
    <x v="0"/>
    <x v="16"/>
    <x v="9"/>
  </r>
  <r>
    <n v="10265"/>
    <x v="15"/>
    <s v="Fuller, Andrew"/>
    <x v="15"/>
    <d v="1996-08-12T00:00:00"/>
    <x v="1"/>
    <x v="17"/>
    <x v="0"/>
  </r>
  <r>
    <n v="10266"/>
    <x v="16"/>
    <s v="Leverling, Janet"/>
    <x v="16"/>
    <d v="1996-07-31T00:00:00"/>
    <x v="0"/>
    <x v="18"/>
    <x v="10"/>
  </r>
  <r>
    <n v="10267"/>
    <x v="17"/>
    <s v="Peacock, Margaret"/>
    <x v="17"/>
    <d v="1996-08-06T00:00:00"/>
    <x v="1"/>
    <x v="19"/>
    <x v="1"/>
  </r>
  <r>
    <n v="10268"/>
    <x v="18"/>
    <s v="Callahan, Laura"/>
    <x v="18"/>
    <d v="1996-08-02T00:00:00"/>
    <x v="0"/>
    <x v="20"/>
    <x v="5"/>
  </r>
  <r>
    <n v="10269"/>
    <x v="19"/>
    <s v="Buchanan, Steven"/>
    <x v="19"/>
    <d v="1996-08-09T00:00:00"/>
    <x v="1"/>
    <x v="21"/>
    <x v="8"/>
  </r>
  <r>
    <n v="10270"/>
    <x v="16"/>
    <s v="Davolio, Nancy"/>
    <x v="20"/>
    <d v="1996-08-02T00:00:00"/>
    <x v="1"/>
    <x v="22"/>
    <x v="10"/>
  </r>
  <r>
    <n v="10271"/>
    <x v="20"/>
    <s v="Suyama, Michael"/>
    <x v="20"/>
    <d v="1996-08-30T00:00:00"/>
    <x v="2"/>
    <x v="23"/>
    <x v="8"/>
  </r>
  <r>
    <n v="10272"/>
    <x v="13"/>
    <s v="Suyama, Michael"/>
    <x v="21"/>
    <d v="1996-08-06T00:00:00"/>
    <x v="2"/>
    <x v="24"/>
    <x v="8"/>
  </r>
  <r>
    <n v="10273"/>
    <x v="21"/>
    <s v="Leverling, Janet"/>
    <x v="22"/>
    <d v="1996-08-12T00:00:00"/>
    <x v="0"/>
    <x v="25"/>
    <x v="1"/>
  </r>
  <r>
    <n v="10274"/>
    <x v="22"/>
    <s v="Suyama, Michael"/>
    <x v="23"/>
    <d v="1996-08-16T00:00:00"/>
    <x v="1"/>
    <x v="26"/>
    <x v="0"/>
  </r>
  <r>
    <n v="10275"/>
    <x v="23"/>
    <s v="Davolio, Nancy"/>
    <x v="24"/>
    <d v="1996-08-09T00:00:00"/>
    <x v="1"/>
    <x v="27"/>
    <x v="11"/>
  </r>
  <r>
    <n v="10276"/>
    <x v="24"/>
    <s v="Callahan, Laura"/>
    <x v="25"/>
    <d v="1996-08-14T00:00:00"/>
    <x v="0"/>
    <x v="28"/>
    <x v="7"/>
  </r>
  <r>
    <n v="10277"/>
    <x v="25"/>
    <s v="Fuller, Andrew"/>
    <x v="26"/>
    <d v="1996-08-13T00:00:00"/>
    <x v="0"/>
    <x v="29"/>
    <x v="1"/>
  </r>
  <r>
    <n v="10278"/>
    <x v="26"/>
    <s v="Callahan, Laura"/>
    <x v="27"/>
    <d v="1996-08-16T00:00:00"/>
    <x v="2"/>
    <x v="30"/>
    <x v="9"/>
  </r>
  <r>
    <n v="10279"/>
    <x v="27"/>
    <s v="Callahan, Laura"/>
    <x v="28"/>
    <d v="1996-08-16T00:00:00"/>
    <x v="2"/>
    <x v="31"/>
    <x v="1"/>
  </r>
  <r>
    <n v="10280"/>
    <x v="26"/>
    <s v="Fuller, Andrew"/>
    <x v="29"/>
    <d v="1996-09-12T00:00:00"/>
    <x v="1"/>
    <x v="32"/>
    <x v="9"/>
  </r>
  <r>
    <n v="10281"/>
    <x v="28"/>
    <s v="Peacock, Margaret"/>
    <x v="29"/>
    <d v="1996-08-21T00:00:00"/>
    <x v="1"/>
    <x v="33"/>
    <x v="12"/>
  </r>
  <r>
    <n v="10282"/>
    <x v="28"/>
    <s v="Peacock, Margaret"/>
    <x v="30"/>
    <d v="1996-08-21T00:00:00"/>
    <x v="1"/>
    <x v="34"/>
    <x v="12"/>
  </r>
  <r>
    <n v="10283"/>
    <x v="29"/>
    <s v="Leverling, Janet"/>
    <x v="31"/>
    <d v="1996-08-23T00:00:00"/>
    <x v="0"/>
    <x v="35"/>
    <x v="5"/>
  </r>
  <r>
    <n v="10284"/>
    <x v="27"/>
    <s v="Peacock, Margaret"/>
    <x v="32"/>
    <d v="1996-08-27T00:00:00"/>
    <x v="1"/>
    <x v="36"/>
    <x v="1"/>
  </r>
  <r>
    <n v="10285"/>
    <x v="21"/>
    <s v="Davolio, Nancy"/>
    <x v="33"/>
    <d v="1996-08-26T00:00:00"/>
    <x v="2"/>
    <x v="37"/>
    <x v="1"/>
  </r>
  <r>
    <n v="10286"/>
    <x v="21"/>
    <s v="Callahan, Laura"/>
    <x v="34"/>
    <d v="1996-08-30T00:00:00"/>
    <x v="0"/>
    <x v="38"/>
    <x v="1"/>
  </r>
  <r>
    <n v="10287"/>
    <x v="30"/>
    <s v="Callahan, Laura"/>
    <x v="35"/>
    <d v="1996-08-28T00:00:00"/>
    <x v="0"/>
    <x v="39"/>
    <x v="2"/>
  </r>
  <r>
    <n v="10288"/>
    <x v="31"/>
    <s v="Peacock, Margaret"/>
    <x v="36"/>
    <d v="1996-09-03T00:00:00"/>
    <x v="1"/>
    <x v="40"/>
    <x v="11"/>
  </r>
  <r>
    <n v="10289"/>
    <x v="32"/>
    <s v="King, Robert"/>
    <x v="37"/>
    <d v="1996-08-28T00:00:00"/>
    <x v="0"/>
    <x v="41"/>
    <x v="13"/>
  </r>
  <r>
    <n v="10290"/>
    <x v="33"/>
    <s v="Callahan, Laura"/>
    <x v="38"/>
    <d v="1996-09-03T00:00:00"/>
    <x v="1"/>
    <x v="42"/>
    <x v="2"/>
  </r>
  <r>
    <n v="10291"/>
    <x v="12"/>
    <s v="Suyama, Michael"/>
    <x v="38"/>
    <d v="1996-09-04T00:00:00"/>
    <x v="2"/>
    <x v="43"/>
    <x v="2"/>
  </r>
  <r>
    <n v="10292"/>
    <x v="1"/>
    <s v="Davolio, Nancy"/>
    <x v="39"/>
    <d v="1996-09-02T00:00:00"/>
    <x v="2"/>
    <x v="44"/>
    <x v="2"/>
  </r>
  <r>
    <n v="10293"/>
    <x v="24"/>
    <s v="Davolio, Nancy"/>
    <x v="40"/>
    <d v="1996-09-11T00:00:00"/>
    <x v="0"/>
    <x v="45"/>
    <x v="7"/>
  </r>
  <r>
    <n v="10294"/>
    <x v="13"/>
    <s v="Peacock, Margaret"/>
    <x v="41"/>
    <d v="1996-09-05T00:00:00"/>
    <x v="2"/>
    <x v="46"/>
    <x v="8"/>
  </r>
  <r>
    <n v="10295"/>
    <x v="22"/>
    <s v="Fuller, Andrew"/>
    <x v="42"/>
    <d v="1996-09-10T00:00:00"/>
    <x v="2"/>
    <x v="47"/>
    <x v="0"/>
  </r>
  <r>
    <n v="10296"/>
    <x v="29"/>
    <s v="Suyama, Michael"/>
    <x v="43"/>
    <d v="1996-09-11T00:00:00"/>
    <x v="1"/>
    <x v="48"/>
    <x v="5"/>
  </r>
  <r>
    <n v="10297"/>
    <x v="15"/>
    <s v="Buchanan, Steven"/>
    <x v="44"/>
    <d v="1996-09-10T00:00:00"/>
    <x v="2"/>
    <x v="49"/>
    <x v="0"/>
  </r>
  <r>
    <n v="10298"/>
    <x v="34"/>
    <s v="Suyama, Michael"/>
    <x v="45"/>
    <d v="1996-09-11T00:00:00"/>
    <x v="2"/>
    <x v="50"/>
    <x v="14"/>
  </r>
  <r>
    <n v="10299"/>
    <x v="30"/>
    <s v="Peacock, Margaret"/>
    <x v="46"/>
    <d v="1996-09-13T00:00:00"/>
    <x v="2"/>
    <x v="51"/>
    <x v="2"/>
  </r>
  <r>
    <n v="10300"/>
    <x v="23"/>
    <s v="Fuller, Andrew"/>
    <x v="47"/>
    <d v="1996-09-18T00:00:00"/>
    <x v="2"/>
    <x v="52"/>
    <x v="11"/>
  </r>
  <r>
    <n v="10301"/>
    <x v="35"/>
    <s v="Callahan, Laura"/>
    <x v="47"/>
    <d v="1996-09-17T00:00:00"/>
    <x v="2"/>
    <x v="53"/>
    <x v="1"/>
  </r>
  <r>
    <n v="10302"/>
    <x v="4"/>
    <s v="Peacock, Margaret"/>
    <x v="48"/>
    <d v="1996-10-09T00:00:00"/>
    <x v="2"/>
    <x v="54"/>
    <x v="3"/>
  </r>
  <r>
    <n v="10303"/>
    <x v="36"/>
    <s v="King, Robert"/>
    <x v="49"/>
    <d v="1996-09-18T00:00:00"/>
    <x v="2"/>
    <x v="55"/>
    <x v="12"/>
  </r>
  <r>
    <n v="10304"/>
    <x v="24"/>
    <s v="Davolio, Nancy"/>
    <x v="50"/>
    <d v="1996-09-17T00:00:00"/>
    <x v="2"/>
    <x v="56"/>
    <x v="7"/>
  </r>
  <r>
    <n v="10305"/>
    <x v="11"/>
    <s v="Callahan, Laura"/>
    <x v="51"/>
    <d v="1996-10-09T00:00:00"/>
    <x v="0"/>
    <x v="57"/>
    <x v="8"/>
  </r>
  <r>
    <n v="10306"/>
    <x v="28"/>
    <s v="Davolio, Nancy"/>
    <x v="52"/>
    <d v="1996-09-23T00:00:00"/>
    <x v="0"/>
    <x v="58"/>
    <x v="12"/>
  </r>
  <r>
    <n v="10307"/>
    <x v="37"/>
    <s v="Fuller, Andrew"/>
    <x v="53"/>
    <d v="1996-09-25T00:00:00"/>
    <x v="2"/>
    <x v="59"/>
    <x v="8"/>
  </r>
  <r>
    <n v="10308"/>
    <x v="38"/>
    <s v="King, Robert"/>
    <x v="54"/>
    <d v="1996-09-24T00:00:00"/>
    <x v="0"/>
    <x v="60"/>
    <x v="7"/>
  </r>
  <r>
    <n v="10309"/>
    <x v="34"/>
    <s v="Leverling, Janet"/>
    <x v="55"/>
    <d v="1996-10-23T00:00:00"/>
    <x v="1"/>
    <x v="61"/>
    <x v="14"/>
  </r>
  <r>
    <n v="10310"/>
    <x v="39"/>
    <s v="Callahan, Laura"/>
    <x v="56"/>
    <d v="1996-09-27T00:00:00"/>
    <x v="2"/>
    <x v="62"/>
    <x v="8"/>
  </r>
  <r>
    <n v="10311"/>
    <x v="40"/>
    <s v="Davolio, Nancy"/>
    <x v="56"/>
    <d v="1996-09-26T00:00:00"/>
    <x v="0"/>
    <x v="63"/>
    <x v="0"/>
  </r>
  <r>
    <n v="10312"/>
    <x v="35"/>
    <s v="Fuller, Andrew"/>
    <x v="57"/>
    <d v="1996-10-03T00:00:00"/>
    <x v="2"/>
    <x v="64"/>
    <x v="1"/>
  </r>
  <r>
    <n v="10313"/>
    <x v="21"/>
    <s v="Fuller, Andrew"/>
    <x v="58"/>
    <d v="1996-10-04T00:00:00"/>
    <x v="2"/>
    <x v="65"/>
    <x v="1"/>
  </r>
  <r>
    <n v="10314"/>
    <x v="13"/>
    <s v="Davolio, Nancy"/>
    <x v="59"/>
    <d v="1996-10-04T00:00:00"/>
    <x v="2"/>
    <x v="66"/>
    <x v="8"/>
  </r>
  <r>
    <n v="10315"/>
    <x v="41"/>
    <s v="Peacock, Margaret"/>
    <x v="60"/>
    <d v="1996-10-03T00:00:00"/>
    <x v="2"/>
    <x v="67"/>
    <x v="13"/>
  </r>
  <r>
    <n v="10316"/>
    <x v="13"/>
    <s v="Davolio, Nancy"/>
    <x v="61"/>
    <d v="1996-10-08T00:00:00"/>
    <x v="0"/>
    <x v="68"/>
    <x v="8"/>
  </r>
  <r>
    <n v="10317"/>
    <x v="37"/>
    <s v="Suyama, Michael"/>
    <x v="62"/>
    <d v="1996-10-10T00:00:00"/>
    <x v="1"/>
    <x v="34"/>
    <x v="8"/>
  </r>
  <r>
    <n v="10318"/>
    <x v="41"/>
    <s v="Callahan, Laura"/>
    <x v="63"/>
    <d v="1996-10-04T00:00:00"/>
    <x v="2"/>
    <x v="69"/>
    <x v="13"/>
  </r>
  <r>
    <n v="10319"/>
    <x v="24"/>
    <s v="King, Robert"/>
    <x v="64"/>
    <d v="1996-10-11T00:00:00"/>
    <x v="0"/>
    <x v="70"/>
    <x v="7"/>
  </r>
  <r>
    <n v="10320"/>
    <x v="16"/>
    <s v="Buchanan, Steven"/>
    <x v="65"/>
    <d v="1996-10-18T00:00:00"/>
    <x v="0"/>
    <x v="71"/>
    <x v="10"/>
  </r>
  <r>
    <n v="10321"/>
    <x v="41"/>
    <s v="Leverling, Janet"/>
    <x v="65"/>
    <d v="1996-10-11T00:00:00"/>
    <x v="2"/>
    <x v="72"/>
    <x v="13"/>
  </r>
  <r>
    <n v="10322"/>
    <x v="42"/>
    <s v="King, Robert"/>
    <x v="66"/>
    <d v="1996-10-23T00:00:00"/>
    <x v="0"/>
    <x v="73"/>
    <x v="7"/>
  </r>
  <r>
    <n v="10323"/>
    <x v="43"/>
    <s v="Peacock, Margaret"/>
    <x v="67"/>
    <d v="1996-10-14T00:00:00"/>
    <x v="1"/>
    <x v="74"/>
    <x v="1"/>
  </r>
  <r>
    <n v="10324"/>
    <x v="44"/>
    <s v="Dodsworth, Anne"/>
    <x v="68"/>
    <d v="1996-10-10T00:00:00"/>
    <x v="1"/>
    <x v="75"/>
    <x v="8"/>
  </r>
  <r>
    <n v="10325"/>
    <x v="43"/>
    <s v="Davolio, Nancy"/>
    <x v="69"/>
    <d v="1996-10-14T00:00:00"/>
    <x v="0"/>
    <x v="76"/>
    <x v="1"/>
  </r>
  <r>
    <n v="10326"/>
    <x v="45"/>
    <s v="Peacock, Margaret"/>
    <x v="70"/>
    <d v="1996-10-14T00:00:00"/>
    <x v="2"/>
    <x v="77"/>
    <x v="12"/>
  </r>
  <r>
    <n v="10327"/>
    <x v="14"/>
    <s v="Fuller, Andrew"/>
    <x v="71"/>
    <d v="1996-10-14T00:00:00"/>
    <x v="1"/>
    <x v="78"/>
    <x v="9"/>
  </r>
  <r>
    <n v="10328"/>
    <x v="46"/>
    <s v="Peacock, Margaret"/>
    <x v="72"/>
    <d v="1996-10-17T00:00:00"/>
    <x v="0"/>
    <x v="79"/>
    <x v="15"/>
  </r>
  <r>
    <n v="10329"/>
    <x v="20"/>
    <s v="Peacock, Margaret"/>
    <x v="73"/>
    <d v="1996-10-23T00:00:00"/>
    <x v="2"/>
    <x v="80"/>
    <x v="8"/>
  </r>
  <r>
    <n v="10330"/>
    <x v="29"/>
    <s v="Leverling, Janet"/>
    <x v="74"/>
    <d v="1996-10-28T00:00:00"/>
    <x v="1"/>
    <x v="81"/>
    <x v="5"/>
  </r>
  <r>
    <n v="10331"/>
    <x v="47"/>
    <s v="Dodsworth, Anne"/>
    <x v="74"/>
    <d v="1996-10-21T00:00:00"/>
    <x v="1"/>
    <x v="82"/>
    <x v="0"/>
  </r>
  <r>
    <n v="10332"/>
    <x v="48"/>
    <s v="Leverling, Janet"/>
    <x v="75"/>
    <d v="1996-10-21T00:00:00"/>
    <x v="2"/>
    <x v="83"/>
    <x v="16"/>
  </r>
  <r>
    <n v="10333"/>
    <x v="16"/>
    <s v="Buchanan, Steven"/>
    <x v="76"/>
    <d v="1996-10-25T00:00:00"/>
    <x v="0"/>
    <x v="84"/>
    <x v="10"/>
  </r>
  <r>
    <n v="10334"/>
    <x v="3"/>
    <s v="Callahan, Laura"/>
    <x v="77"/>
    <d v="1996-10-28T00:00:00"/>
    <x v="2"/>
    <x v="85"/>
    <x v="0"/>
  </r>
  <r>
    <n v="10335"/>
    <x v="34"/>
    <s v="King, Robert"/>
    <x v="78"/>
    <d v="1996-10-24T00:00:00"/>
    <x v="2"/>
    <x v="86"/>
    <x v="14"/>
  </r>
  <r>
    <n v="10336"/>
    <x v="49"/>
    <s v="King, Robert"/>
    <x v="79"/>
    <d v="1996-10-25T00:00:00"/>
    <x v="2"/>
    <x v="87"/>
    <x v="15"/>
  </r>
  <r>
    <n v="10337"/>
    <x v="17"/>
    <s v="Peacock, Margaret"/>
    <x v="80"/>
    <d v="1996-10-29T00:00:00"/>
    <x v="0"/>
    <x v="88"/>
    <x v="1"/>
  </r>
  <r>
    <n v="10338"/>
    <x v="11"/>
    <s v="Peacock, Margaret"/>
    <x v="81"/>
    <d v="1996-10-29T00:00:00"/>
    <x v="0"/>
    <x v="89"/>
    <x v="8"/>
  </r>
  <r>
    <n v="10339"/>
    <x v="48"/>
    <s v="Fuller, Andrew"/>
    <x v="82"/>
    <d v="1996-11-04T00:00:00"/>
    <x v="2"/>
    <x v="90"/>
    <x v="16"/>
  </r>
  <r>
    <n v="10340"/>
    <x v="47"/>
    <s v="Davolio, Nancy"/>
    <x v="83"/>
    <d v="1996-11-08T00:00:00"/>
    <x v="0"/>
    <x v="91"/>
    <x v="0"/>
  </r>
  <r>
    <n v="10341"/>
    <x v="50"/>
    <s v="King, Robert"/>
    <x v="83"/>
    <d v="1996-11-05T00:00:00"/>
    <x v="0"/>
    <x v="92"/>
    <x v="17"/>
  </r>
  <r>
    <n v="10342"/>
    <x v="17"/>
    <s v="Peacock, Margaret"/>
    <x v="84"/>
    <d v="1996-11-04T00:00:00"/>
    <x v="2"/>
    <x v="93"/>
    <x v="1"/>
  </r>
  <r>
    <n v="10343"/>
    <x v="27"/>
    <s v="Peacock, Margaret"/>
    <x v="85"/>
    <d v="1996-11-06T00:00:00"/>
    <x v="1"/>
    <x v="94"/>
    <x v="1"/>
  </r>
  <r>
    <n v="10344"/>
    <x v="19"/>
    <s v="Peacock, Margaret"/>
    <x v="86"/>
    <d v="1996-11-05T00:00:00"/>
    <x v="2"/>
    <x v="95"/>
    <x v="8"/>
  </r>
  <r>
    <n v="10345"/>
    <x v="21"/>
    <s v="Fuller, Andrew"/>
    <x v="87"/>
    <d v="1996-11-11T00:00:00"/>
    <x v="2"/>
    <x v="96"/>
    <x v="1"/>
  </r>
  <r>
    <n v="10346"/>
    <x v="13"/>
    <s v="Leverling, Janet"/>
    <x v="88"/>
    <d v="1996-11-08T00:00:00"/>
    <x v="0"/>
    <x v="97"/>
    <x v="8"/>
  </r>
  <r>
    <n v="10347"/>
    <x v="51"/>
    <s v="Peacock, Margaret"/>
    <x v="89"/>
    <d v="1996-11-08T00:00:00"/>
    <x v="0"/>
    <x v="98"/>
    <x v="2"/>
  </r>
  <r>
    <n v="10348"/>
    <x v="35"/>
    <s v="Peacock, Margaret"/>
    <x v="90"/>
    <d v="1996-11-15T00:00:00"/>
    <x v="2"/>
    <x v="99"/>
    <x v="1"/>
  </r>
  <r>
    <n v="10349"/>
    <x v="20"/>
    <s v="King, Robert"/>
    <x v="91"/>
    <d v="1996-11-15T00:00:00"/>
    <x v="1"/>
    <x v="100"/>
    <x v="8"/>
  </r>
  <r>
    <n v="10350"/>
    <x v="52"/>
    <s v="Suyama, Michael"/>
    <x v="92"/>
    <d v="1996-12-03T00:00:00"/>
    <x v="2"/>
    <x v="101"/>
    <x v="0"/>
  </r>
  <r>
    <n v="10351"/>
    <x v="9"/>
    <s v="Davolio, Nancy"/>
    <x v="92"/>
    <d v="1996-11-20T00:00:00"/>
    <x v="1"/>
    <x v="102"/>
    <x v="6"/>
  </r>
  <r>
    <n v="10352"/>
    <x v="46"/>
    <s v="Leverling, Janet"/>
    <x v="93"/>
    <d v="1996-11-18T00:00:00"/>
    <x v="0"/>
    <x v="103"/>
    <x v="15"/>
  </r>
  <r>
    <n v="10353"/>
    <x v="53"/>
    <s v="King, Robert"/>
    <x v="94"/>
    <d v="1996-11-25T00:00:00"/>
    <x v="0"/>
    <x v="104"/>
    <x v="6"/>
  </r>
  <r>
    <n v="10354"/>
    <x v="42"/>
    <s v="Callahan, Laura"/>
    <x v="95"/>
    <d v="1996-11-20T00:00:00"/>
    <x v="0"/>
    <x v="105"/>
    <x v="7"/>
  </r>
  <r>
    <n v="10355"/>
    <x v="54"/>
    <s v="Suyama, Michael"/>
    <x v="96"/>
    <d v="1996-11-20T00:00:00"/>
    <x v="1"/>
    <x v="106"/>
    <x v="13"/>
  </r>
  <r>
    <n v="10356"/>
    <x v="35"/>
    <s v="Suyama, Michael"/>
    <x v="97"/>
    <d v="1996-11-27T00:00:00"/>
    <x v="2"/>
    <x v="107"/>
    <x v="1"/>
  </r>
  <r>
    <n v="10357"/>
    <x v="29"/>
    <s v="Davolio, Nancy"/>
    <x v="98"/>
    <d v="1996-12-02T00:00:00"/>
    <x v="0"/>
    <x v="108"/>
    <x v="5"/>
  </r>
  <r>
    <n v="10358"/>
    <x v="52"/>
    <s v="Buchanan, Steven"/>
    <x v="99"/>
    <d v="1996-11-27T00:00:00"/>
    <x v="1"/>
    <x v="109"/>
    <x v="0"/>
  </r>
  <r>
    <n v="10359"/>
    <x v="55"/>
    <s v="Buchanan, Steven"/>
    <x v="100"/>
    <d v="1996-11-26T00:00:00"/>
    <x v="0"/>
    <x v="110"/>
    <x v="13"/>
  </r>
  <r>
    <n v="10360"/>
    <x v="15"/>
    <s v="Peacock, Margaret"/>
    <x v="101"/>
    <d v="1996-12-02T00:00:00"/>
    <x v="0"/>
    <x v="111"/>
    <x v="0"/>
  </r>
  <r>
    <n v="10361"/>
    <x v="21"/>
    <s v="Davolio, Nancy"/>
    <x v="101"/>
    <d v="1996-12-03T00:00:00"/>
    <x v="2"/>
    <x v="112"/>
    <x v="1"/>
  </r>
  <r>
    <n v="10362"/>
    <x v="47"/>
    <s v="Leverling, Janet"/>
    <x v="102"/>
    <d v="1996-11-28T00:00:00"/>
    <x v="1"/>
    <x v="113"/>
    <x v="0"/>
  </r>
  <r>
    <n v="10363"/>
    <x v="56"/>
    <s v="Peacock, Margaret"/>
    <x v="103"/>
    <d v="1996-12-04T00:00:00"/>
    <x v="0"/>
    <x v="114"/>
    <x v="1"/>
  </r>
  <r>
    <n v="10364"/>
    <x v="57"/>
    <s v="Davolio, Nancy"/>
    <x v="103"/>
    <d v="1996-12-04T00:00:00"/>
    <x v="1"/>
    <x v="115"/>
    <x v="13"/>
  </r>
  <r>
    <n v="10365"/>
    <x v="58"/>
    <s v="Leverling, Janet"/>
    <x v="104"/>
    <d v="1996-12-02T00:00:00"/>
    <x v="2"/>
    <x v="116"/>
    <x v="7"/>
  </r>
  <r>
    <n v="10366"/>
    <x v="59"/>
    <s v="Callahan, Laura"/>
    <x v="105"/>
    <d v="1996-12-30T00:00:00"/>
    <x v="2"/>
    <x v="117"/>
    <x v="12"/>
  </r>
  <r>
    <n v="10367"/>
    <x v="60"/>
    <s v="King, Robert"/>
    <x v="105"/>
    <d v="1996-12-02T00:00:00"/>
    <x v="0"/>
    <x v="118"/>
    <x v="17"/>
  </r>
  <r>
    <n v="10368"/>
    <x v="9"/>
    <s v="Fuller, Andrew"/>
    <x v="106"/>
    <d v="1996-12-02T00:00:00"/>
    <x v="2"/>
    <x v="119"/>
    <x v="6"/>
  </r>
  <r>
    <n v="10369"/>
    <x v="20"/>
    <s v="Callahan, Laura"/>
    <x v="107"/>
    <d v="1996-12-09T00:00:00"/>
    <x v="2"/>
    <x v="120"/>
    <x v="8"/>
  </r>
  <r>
    <n v="10370"/>
    <x v="5"/>
    <s v="Suyama, Michael"/>
    <x v="108"/>
    <d v="1996-12-27T00:00:00"/>
    <x v="2"/>
    <x v="121"/>
    <x v="4"/>
  </r>
  <r>
    <n v="10371"/>
    <x v="52"/>
    <s v="Davolio, Nancy"/>
    <x v="108"/>
    <d v="1996-12-24T00:00:00"/>
    <x v="1"/>
    <x v="122"/>
    <x v="0"/>
  </r>
  <r>
    <n v="10372"/>
    <x v="61"/>
    <s v="Buchanan, Steven"/>
    <x v="109"/>
    <d v="1996-12-09T00:00:00"/>
    <x v="2"/>
    <x v="123"/>
    <x v="2"/>
  </r>
  <r>
    <n v="10373"/>
    <x v="34"/>
    <s v="Peacock, Margaret"/>
    <x v="110"/>
    <d v="1996-12-11T00:00:00"/>
    <x v="0"/>
    <x v="124"/>
    <x v="14"/>
  </r>
  <r>
    <n v="10374"/>
    <x v="62"/>
    <s v="Davolio, Nancy"/>
    <x v="110"/>
    <d v="1996-12-09T00:00:00"/>
    <x v="0"/>
    <x v="125"/>
    <x v="18"/>
  </r>
  <r>
    <n v="10375"/>
    <x v="63"/>
    <s v="Leverling, Janet"/>
    <x v="111"/>
    <d v="1996-12-09T00:00:00"/>
    <x v="2"/>
    <x v="126"/>
    <x v="8"/>
  </r>
  <r>
    <n v="10376"/>
    <x v="48"/>
    <s v="Davolio, Nancy"/>
    <x v="112"/>
    <d v="1996-12-13T00:00:00"/>
    <x v="2"/>
    <x v="127"/>
    <x v="16"/>
  </r>
  <r>
    <n v="10377"/>
    <x v="55"/>
    <s v="Davolio, Nancy"/>
    <x v="112"/>
    <d v="1996-12-13T00:00:00"/>
    <x v="0"/>
    <x v="128"/>
    <x v="13"/>
  </r>
  <r>
    <n v="10378"/>
    <x v="14"/>
    <s v="Buchanan, Steven"/>
    <x v="113"/>
    <d v="1996-12-19T00:00:00"/>
    <x v="0"/>
    <x v="129"/>
    <x v="9"/>
  </r>
  <r>
    <n v="10379"/>
    <x v="12"/>
    <s v="Fuller, Andrew"/>
    <x v="114"/>
    <d v="1996-12-13T00:00:00"/>
    <x v="1"/>
    <x v="130"/>
    <x v="2"/>
  </r>
  <r>
    <n v="10380"/>
    <x v="34"/>
    <s v="Callahan, Laura"/>
    <x v="115"/>
    <d v="1997-01-16T00:00:00"/>
    <x v="0"/>
    <x v="131"/>
    <x v="14"/>
  </r>
  <r>
    <n v="10381"/>
    <x v="29"/>
    <s v="Leverling, Janet"/>
    <x v="115"/>
    <d v="1996-12-13T00:00:00"/>
    <x v="0"/>
    <x v="132"/>
    <x v="5"/>
  </r>
  <r>
    <n v="10382"/>
    <x v="9"/>
    <s v="Peacock, Margaret"/>
    <x v="116"/>
    <d v="1996-12-16T00:00:00"/>
    <x v="1"/>
    <x v="133"/>
    <x v="6"/>
  </r>
  <r>
    <n v="10383"/>
    <x v="54"/>
    <s v="Callahan, Laura"/>
    <x v="117"/>
    <d v="1996-12-18T00:00:00"/>
    <x v="0"/>
    <x v="134"/>
    <x v="13"/>
  </r>
  <r>
    <n v="10384"/>
    <x v="26"/>
    <s v="Leverling, Janet"/>
    <x v="117"/>
    <d v="1996-12-20T00:00:00"/>
    <x v="0"/>
    <x v="135"/>
    <x v="9"/>
  </r>
  <r>
    <n v="10385"/>
    <x v="20"/>
    <s v="Davolio, Nancy"/>
    <x v="118"/>
    <d v="1996-12-23T00:00:00"/>
    <x v="2"/>
    <x v="136"/>
    <x v="8"/>
  </r>
  <r>
    <n v="10386"/>
    <x v="51"/>
    <s v="Dodsworth, Anne"/>
    <x v="119"/>
    <d v="1996-12-25T00:00:00"/>
    <x v="0"/>
    <x v="137"/>
    <x v="2"/>
  </r>
  <r>
    <n v="10387"/>
    <x v="64"/>
    <s v="Davolio, Nancy"/>
    <x v="119"/>
    <d v="1996-12-20T00:00:00"/>
    <x v="2"/>
    <x v="138"/>
    <x v="19"/>
  </r>
  <r>
    <n v="10388"/>
    <x v="55"/>
    <s v="Fuller, Andrew"/>
    <x v="120"/>
    <d v="1996-12-20T00:00:00"/>
    <x v="1"/>
    <x v="139"/>
    <x v="13"/>
  </r>
  <r>
    <n v="10389"/>
    <x v="65"/>
    <s v="Peacock, Margaret"/>
    <x v="121"/>
    <d v="1996-12-24T00:00:00"/>
    <x v="2"/>
    <x v="140"/>
    <x v="16"/>
  </r>
  <r>
    <n v="10390"/>
    <x v="9"/>
    <s v="Suyama, Michael"/>
    <x v="122"/>
    <d v="1996-12-26T00:00:00"/>
    <x v="1"/>
    <x v="141"/>
    <x v="6"/>
  </r>
  <r>
    <n v="10391"/>
    <x v="56"/>
    <s v="Leverling, Janet"/>
    <x v="122"/>
    <d v="1996-12-31T00:00:00"/>
    <x v="0"/>
    <x v="142"/>
    <x v="1"/>
  </r>
  <r>
    <n v="10392"/>
    <x v="53"/>
    <s v="Fuller, Andrew"/>
    <x v="123"/>
    <d v="1997-01-01T00:00:00"/>
    <x v="0"/>
    <x v="143"/>
    <x v="6"/>
  </r>
  <r>
    <n v="10393"/>
    <x v="44"/>
    <s v="Davolio, Nancy"/>
    <x v="124"/>
    <d v="1997-01-03T00:00:00"/>
    <x v="0"/>
    <x v="144"/>
    <x v="8"/>
  </r>
  <r>
    <n v="10394"/>
    <x v="63"/>
    <s v="Davolio, Nancy"/>
    <x v="124"/>
    <d v="1997-01-03T00:00:00"/>
    <x v="0"/>
    <x v="145"/>
    <x v="8"/>
  </r>
  <r>
    <n v="10395"/>
    <x v="8"/>
    <s v="Suyama, Michael"/>
    <x v="125"/>
    <d v="1997-01-03T00:00:00"/>
    <x v="1"/>
    <x v="146"/>
    <x v="5"/>
  </r>
  <r>
    <n v="10396"/>
    <x v="17"/>
    <s v="Davolio, Nancy"/>
    <x v="126"/>
    <d v="1997-01-06T00:00:00"/>
    <x v="0"/>
    <x v="147"/>
    <x v="1"/>
  </r>
  <r>
    <n v="10397"/>
    <x v="49"/>
    <s v="Buchanan, Steven"/>
    <x v="126"/>
    <d v="1997-01-02T00:00:00"/>
    <x v="1"/>
    <x v="148"/>
    <x v="15"/>
  </r>
  <r>
    <n v="10398"/>
    <x v="44"/>
    <s v="Fuller, Andrew"/>
    <x v="127"/>
    <d v="1997-01-09T00:00:00"/>
    <x v="0"/>
    <x v="149"/>
    <x v="8"/>
  </r>
  <r>
    <n v="10399"/>
    <x v="60"/>
    <s v="Callahan, Laura"/>
    <x v="128"/>
    <d v="1997-01-08T00:00:00"/>
    <x v="0"/>
    <x v="150"/>
    <x v="17"/>
  </r>
  <r>
    <n v="10400"/>
    <x v="57"/>
    <s v="Davolio, Nancy"/>
    <x v="129"/>
    <d v="1997-01-16T00:00:00"/>
    <x v="0"/>
    <x v="151"/>
    <x v="13"/>
  </r>
  <r>
    <n v="10401"/>
    <x v="13"/>
    <s v="Davolio, Nancy"/>
    <x v="129"/>
    <d v="1997-01-10T00:00:00"/>
    <x v="1"/>
    <x v="152"/>
    <x v="8"/>
  </r>
  <r>
    <n v="10402"/>
    <x v="9"/>
    <s v="Callahan, Laura"/>
    <x v="130"/>
    <d v="1997-01-10T00:00:00"/>
    <x v="2"/>
    <x v="153"/>
    <x v="6"/>
  </r>
  <r>
    <n v="10403"/>
    <x v="9"/>
    <s v="Peacock, Margaret"/>
    <x v="131"/>
    <d v="1997-01-09T00:00:00"/>
    <x v="0"/>
    <x v="154"/>
    <x v="6"/>
  </r>
  <r>
    <n v="10404"/>
    <x v="23"/>
    <s v="Fuller, Andrew"/>
    <x v="131"/>
    <d v="1997-01-08T00:00:00"/>
    <x v="1"/>
    <x v="155"/>
    <x v="11"/>
  </r>
  <r>
    <n v="10405"/>
    <x v="66"/>
    <s v="Davolio, Nancy"/>
    <x v="132"/>
    <d v="1997-01-22T00:00:00"/>
    <x v="1"/>
    <x v="156"/>
    <x v="5"/>
  </r>
  <r>
    <n v="10406"/>
    <x v="61"/>
    <s v="King, Robert"/>
    <x v="133"/>
    <d v="1997-01-13T00:00:00"/>
    <x v="1"/>
    <x v="157"/>
    <x v="2"/>
  </r>
  <r>
    <n v="10407"/>
    <x v="67"/>
    <s v="Fuller, Andrew"/>
    <x v="133"/>
    <d v="1997-01-30T00:00:00"/>
    <x v="2"/>
    <x v="158"/>
    <x v="1"/>
  </r>
  <r>
    <n v="10408"/>
    <x v="68"/>
    <s v="Callahan, Laura"/>
    <x v="134"/>
    <d v="1997-01-14T00:00:00"/>
    <x v="1"/>
    <x v="159"/>
    <x v="0"/>
  </r>
  <r>
    <n v="10409"/>
    <x v="69"/>
    <s v="Leverling, Janet"/>
    <x v="135"/>
    <d v="1997-01-14T00:00:00"/>
    <x v="1"/>
    <x v="160"/>
    <x v="20"/>
  </r>
  <r>
    <n v="10410"/>
    <x v="65"/>
    <s v="Leverling, Janet"/>
    <x v="136"/>
    <d v="1997-01-15T00:00:00"/>
    <x v="0"/>
    <x v="161"/>
    <x v="16"/>
  </r>
  <r>
    <n v="10411"/>
    <x v="65"/>
    <s v="Dodsworth, Anne"/>
    <x v="136"/>
    <d v="1997-01-21T00:00:00"/>
    <x v="0"/>
    <x v="162"/>
    <x v="16"/>
  </r>
  <r>
    <n v="10412"/>
    <x v="16"/>
    <s v="Callahan, Laura"/>
    <x v="137"/>
    <d v="1997-01-15T00:00:00"/>
    <x v="2"/>
    <x v="163"/>
    <x v="10"/>
  </r>
  <r>
    <n v="10413"/>
    <x v="52"/>
    <s v="Leverling, Janet"/>
    <x v="138"/>
    <d v="1997-01-16T00:00:00"/>
    <x v="2"/>
    <x v="164"/>
    <x v="0"/>
  </r>
  <r>
    <n v="10414"/>
    <x v="51"/>
    <s v="Fuller, Andrew"/>
    <x v="138"/>
    <d v="1997-01-17T00:00:00"/>
    <x v="0"/>
    <x v="165"/>
    <x v="2"/>
  </r>
  <r>
    <n v="10415"/>
    <x v="63"/>
    <s v="Leverling, Janet"/>
    <x v="139"/>
    <d v="1997-01-24T00:00:00"/>
    <x v="1"/>
    <x v="166"/>
    <x v="8"/>
  </r>
  <r>
    <n v="10416"/>
    <x v="16"/>
    <s v="Callahan, Laura"/>
    <x v="140"/>
    <d v="1997-01-27T00:00:00"/>
    <x v="0"/>
    <x v="167"/>
    <x v="10"/>
  </r>
  <r>
    <n v="10417"/>
    <x v="50"/>
    <s v="Peacock, Margaret"/>
    <x v="140"/>
    <d v="1997-01-28T00:00:00"/>
    <x v="0"/>
    <x v="168"/>
    <x v="17"/>
  </r>
  <r>
    <n v="10418"/>
    <x v="21"/>
    <s v="Peacock, Margaret"/>
    <x v="141"/>
    <d v="1997-01-24T00:00:00"/>
    <x v="1"/>
    <x v="169"/>
    <x v="1"/>
  </r>
  <r>
    <n v="10419"/>
    <x v="6"/>
    <s v="Peacock, Margaret"/>
    <x v="142"/>
    <d v="1997-01-30T00:00:00"/>
    <x v="2"/>
    <x v="170"/>
    <x v="4"/>
  </r>
  <r>
    <n v="10420"/>
    <x v="7"/>
    <s v="Leverling, Janet"/>
    <x v="143"/>
    <d v="1997-01-27T00:00:00"/>
    <x v="1"/>
    <x v="171"/>
    <x v="2"/>
  </r>
  <r>
    <n v="10421"/>
    <x v="12"/>
    <s v="Callahan, Laura"/>
    <x v="143"/>
    <d v="1997-01-27T00:00:00"/>
    <x v="1"/>
    <x v="172"/>
    <x v="2"/>
  </r>
  <r>
    <n v="10422"/>
    <x v="70"/>
    <s v="Fuller, Andrew"/>
    <x v="144"/>
    <d v="1997-01-31T00:00:00"/>
    <x v="1"/>
    <x v="173"/>
    <x v="11"/>
  </r>
  <r>
    <n v="10423"/>
    <x v="71"/>
    <s v="Suyama, Michael"/>
    <x v="145"/>
    <d v="1997-02-24T00:00:00"/>
    <x v="0"/>
    <x v="174"/>
    <x v="2"/>
  </r>
  <r>
    <n v="10424"/>
    <x v="48"/>
    <s v="King, Robert"/>
    <x v="145"/>
    <d v="1997-01-27T00:00:00"/>
    <x v="2"/>
    <x v="175"/>
    <x v="16"/>
  </r>
  <r>
    <n v="10425"/>
    <x v="52"/>
    <s v="Suyama, Michael"/>
    <x v="146"/>
    <d v="1997-02-14T00:00:00"/>
    <x v="2"/>
    <x v="176"/>
    <x v="0"/>
  </r>
  <r>
    <n v="10426"/>
    <x v="59"/>
    <s v="Peacock, Margaret"/>
    <x v="147"/>
    <d v="1997-02-06T00:00:00"/>
    <x v="1"/>
    <x v="177"/>
    <x v="12"/>
  </r>
  <r>
    <n v="10427"/>
    <x v="53"/>
    <s v="Peacock, Margaret"/>
    <x v="147"/>
    <d v="1997-03-03T00:00:00"/>
    <x v="2"/>
    <x v="178"/>
    <x v="6"/>
  </r>
  <r>
    <n v="10428"/>
    <x v="31"/>
    <s v="King, Robert"/>
    <x v="148"/>
    <d v="1997-02-04T00:00:00"/>
    <x v="1"/>
    <x v="179"/>
    <x v="11"/>
  </r>
  <r>
    <n v="10429"/>
    <x v="34"/>
    <s v="Leverling, Janet"/>
    <x v="149"/>
    <d v="1997-02-07T00:00:00"/>
    <x v="2"/>
    <x v="180"/>
    <x v="14"/>
  </r>
  <r>
    <n v="10430"/>
    <x v="9"/>
    <s v="Peacock, Margaret"/>
    <x v="150"/>
    <d v="1997-02-03T00:00:00"/>
    <x v="1"/>
    <x v="181"/>
    <x v="6"/>
  </r>
  <r>
    <n v="10431"/>
    <x v="65"/>
    <s v="Peacock, Margaret"/>
    <x v="150"/>
    <d v="1997-02-07T00:00:00"/>
    <x v="2"/>
    <x v="182"/>
    <x v="16"/>
  </r>
  <r>
    <n v="10432"/>
    <x v="20"/>
    <s v="Leverling, Janet"/>
    <x v="151"/>
    <d v="1997-02-07T00:00:00"/>
    <x v="2"/>
    <x v="183"/>
    <x v="8"/>
  </r>
  <r>
    <n v="10433"/>
    <x v="49"/>
    <s v="Leverling, Janet"/>
    <x v="152"/>
    <d v="1997-03-04T00:00:00"/>
    <x v="0"/>
    <x v="184"/>
    <x v="15"/>
  </r>
  <r>
    <n v="10434"/>
    <x v="14"/>
    <s v="Leverling, Janet"/>
    <x v="152"/>
    <d v="1997-02-13T00:00:00"/>
    <x v="2"/>
    <x v="185"/>
    <x v="9"/>
  </r>
  <r>
    <n v="10435"/>
    <x v="72"/>
    <s v="Callahan, Laura"/>
    <x v="153"/>
    <d v="1997-02-07T00:00:00"/>
    <x v="2"/>
    <x v="186"/>
    <x v="13"/>
  </r>
  <r>
    <n v="10436"/>
    <x v="15"/>
    <s v="Leverling, Janet"/>
    <x v="154"/>
    <d v="1997-02-11T00:00:00"/>
    <x v="2"/>
    <x v="187"/>
    <x v="0"/>
  </r>
  <r>
    <n v="10437"/>
    <x v="16"/>
    <s v="Callahan, Laura"/>
    <x v="154"/>
    <d v="1997-02-12T00:00:00"/>
    <x v="1"/>
    <x v="188"/>
    <x v="10"/>
  </r>
  <r>
    <n v="10438"/>
    <x v="73"/>
    <s v="Leverling, Janet"/>
    <x v="155"/>
    <d v="1997-02-14T00:00:00"/>
    <x v="2"/>
    <x v="189"/>
    <x v="1"/>
  </r>
  <r>
    <n v="10439"/>
    <x v="48"/>
    <s v="Suyama, Michael"/>
    <x v="156"/>
    <d v="1997-02-10T00:00:00"/>
    <x v="0"/>
    <x v="190"/>
    <x v="16"/>
  </r>
  <r>
    <n v="10440"/>
    <x v="44"/>
    <s v="Peacock, Margaret"/>
    <x v="157"/>
    <d v="1997-02-28T00:00:00"/>
    <x v="2"/>
    <x v="191"/>
    <x v="8"/>
  </r>
  <r>
    <n v="10441"/>
    <x v="11"/>
    <s v="Leverling, Janet"/>
    <x v="157"/>
    <d v="1997-03-14T00:00:00"/>
    <x v="2"/>
    <x v="192"/>
    <x v="8"/>
  </r>
  <r>
    <n v="10442"/>
    <x v="9"/>
    <s v="Leverling, Janet"/>
    <x v="158"/>
    <d v="1997-02-18T00:00:00"/>
    <x v="2"/>
    <x v="193"/>
    <x v="6"/>
  </r>
  <r>
    <n v="10443"/>
    <x v="31"/>
    <s v="Callahan, Laura"/>
    <x v="159"/>
    <d v="1997-02-14T00:00:00"/>
    <x v="1"/>
    <x v="194"/>
    <x v="11"/>
  </r>
  <r>
    <n v="10444"/>
    <x v="26"/>
    <s v="Leverling, Janet"/>
    <x v="159"/>
    <d v="1997-02-21T00:00:00"/>
    <x v="0"/>
    <x v="195"/>
    <x v="9"/>
  </r>
  <r>
    <n v="10445"/>
    <x v="26"/>
    <s v="Leverling, Janet"/>
    <x v="160"/>
    <d v="1997-02-20T00:00:00"/>
    <x v="1"/>
    <x v="196"/>
    <x v="9"/>
  </r>
  <r>
    <n v="10446"/>
    <x v="73"/>
    <s v="Suyama, Michael"/>
    <x v="161"/>
    <d v="1997-02-19T00:00:00"/>
    <x v="1"/>
    <x v="197"/>
    <x v="1"/>
  </r>
  <r>
    <n v="10447"/>
    <x v="30"/>
    <s v="Peacock, Margaret"/>
    <x v="161"/>
    <d v="1997-03-07T00:00:00"/>
    <x v="2"/>
    <x v="198"/>
    <x v="2"/>
  </r>
  <r>
    <n v="10448"/>
    <x v="74"/>
    <s v="Peacock, Margaret"/>
    <x v="162"/>
    <d v="1997-02-24T00:00:00"/>
    <x v="2"/>
    <x v="199"/>
    <x v="20"/>
  </r>
  <r>
    <n v="10449"/>
    <x v="15"/>
    <s v="Leverling, Janet"/>
    <x v="163"/>
    <d v="1997-02-27T00:00:00"/>
    <x v="2"/>
    <x v="200"/>
    <x v="0"/>
  </r>
  <r>
    <n v="10450"/>
    <x v="3"/>
    <s v="Callahan, Laura"/>
    <x v="164"/>
    <d v="1997-03-11T00:00:00"/>
    <x v="2"/>
    <x v="201"/>
    <x v="0"/>
  </r>
  <r>
    <n v="10451"/>
    <x v="21"/>
    <s v="Peacock, Margaret"/>
    <x v="164"/>
    <d v="1997-03-12T00:00:00"/>
    <x v="0"/>
    <x v="202"/>
    <x v="1"/>
  </r>
  <r>
    <n v="10452"/>
    <x v="44"/>
    <s v="Callahan, Laura"/>
    <x v="165"/>
    <d v="1997-02-26T00:00:00"/>
    <x v="1"/>
    <x v="203"/>
    <x v="8"/>
  </r>
  <r>
    <n v="10453"/>
    <x v="54"/>
    <s v="Davolio, Nancy"/>
    <x v="166"/>
    <d v="1997-02-26T00:00:00"/>
    <x v="2"/>
    <x v="204"/>
    <x v="13"/>
  </r>
  <r>
    <n v="10454"/>
    <x v="52"/>
    <s v="Peacock, Margaret"/>
    <x v="166"/>
    <d v="1997-02-25T00:00:00"/>
    <x v="0"/>
    <x v="205"/>
    <x v="0"/>
  </r>
  <r>
    <n v="10455"/>
    <x v="16"/>
    <s v="Callahan, Laura"/>
    <x v="167"/>
    <d v="1997-03-03T00:00:00"/>
    <x v="2"/>
    <x v="206"/>
    <x v="10"/>
  </r>
  <r>
    <n v="10456"/>
    <x v="43"/>
    <s v="Callahan, Laura"/>
    <x v="168"/>
    <d v="1997-02-28T00:00:00"/>
    <x v="2"/>
    <x v="207"/>
    <x v="1"/>
  </r>
  <r>
    <n v="10457"/>
    <x v="43"/>
    <s v="Fuller, Andrew"/>
    <x v="168"/>
    <d v="1997-03-03T00:00:00"/>
    <x v="1"/>
    <x v="208"/>
    <x v="1"/>
  </r>
  <r>
    <n v="10458"/>
    <x v="4"/>
    <s v="King, Robert"/>
    <x v="169"/>
    <d v="1997-03-04T00:00:00"/>
    <x v="0"/>
    <x v="209"/>
    <x v="3"/>
  </r>
  <r>
    <n v="10459"/>
    <x v="3"/>
    <s v="Peacock, Margaret"/>
    <x v="170"/>
    <d v="1997-02-28T00:00:00"/>
    <x v="2"/>
    <x v="210"/>
    <x v="0"/>
  </r>
  <r>
    <n v="10460"/>
    <x v="14"/>
    <s v="Callahan, Laura"/>
    <x v="171"/>
    <d v="1997-03-03T00:00:00"/>
    <x v="1"/>
    <x v="211"/>
    <x v="9"/>
  </r>
  <r>
    <n v="10461"/>
    <x v="29"/>
    <s v="Davolio, Nancy"/>
    <x v="171"/>
    <d v="1997-03-05T00:00:00"/>
    <x v="0"/>
    <x v="212"/>
    <x v="5"/>
  </r>
  <r>
    <n v="10462"/>
    <x v="72"/>
    <s v="Fuller, Andrew"/>
    <x v="172"/>
    <d v="1997-03-18T00:00:00"/>
    <x v="1"/>
    <x v="213"/>
    <x v="13"/>
  </r>
  <r>
    <n v="10463"/>
    <x v="4"/>
    <s v="Buchanan, Steven"/>
    <x v="173"/>
    <d v="1997-03-06T00:00:00"/>
    <x v="0"/>
    <x v="214"/>
    <x v="3"/>
  </r>
  <r>
    <n v="10464"/>
    <x v="46"/>
    <s v="Peacock, Margaret"/>
    <x v="173"/>
    <d v="1997-03-14T00:00:00"/>
    <x v="2"/>
    <x v="215"/>
    <x v="15"/>
  </r>
  <r>
    <n v="10465"/>
    <x v="60"/>
    <s v="Davolio, Nancy"/>
    <x v="174"/>
    <d v="1997-03-14T00:00:00"/>
    <x v="0"/>
    <x v="216"/>
    <x v="17"/>
  </r>
  <r>
    <n v="10466"/>
    <x v="33"/>
    <s v="Peacock, Margaret"/>
    <x v="175"/>
    <d v="1997-03-13T00:00:00"/>
    <x v="1"/>
    <x v="217"/>
    <x v="2"/>
  </r>
  <r>
    <n v="10467"/>
    <x v="23"/>
    <s v="Callahan, Laura"/>
    <x v="175"/>
    <d v="1997-03-11T00:00:00"/>
    <x v="2"/>
    <x v="218"/>
    <x v="11"/>
  </r>
  <r>
    <n v="10468"/>
    <x v="43"/>
    <s v="Leverling, Janet"/>
    <x v="176"/>
    <d v="1997-03-12T00:00:00"/>
    <x v="0"/>
    <x v="171"/>
    <x v="1"/>
  </r>
  <r>
    <n v="10469"/>
    <x v="19"/>
    <s v="Davolio, Nancy"/>
    <x v="177"/>
    <d v="1997-03-14T00:00:00"/>
    <x v="1"/>
    <x v="219"/>
    <x v="8"/>
  </r>
  <r>
    <n v="10470"/>
    <x v="47"/>
    <s v="Peacock, Margaret"/>
    <x v="178"/>
    <d v="1997-03-14T00:00:00"/>
    <x v="2"/>
    <x v="220"/>
    <x v="0"/>
  </r>
  <r>
    <n v="10471"/>
    <x v="32"/>
    <s v="Fuller, Andrew"/>
    <x v="178"/>
    <d v="1997-03-18T00:00:00"/>
    <x v="0"/>
    <x v="221"/>
    <x v="13"/>
  </r>
  <r>
    <n v="10472"/>
    <x v="55"/>
    <s v="Callahan, Laura"/>
    <x v="179"/>
    <d v="1997-03-19T00:00:00"/>
    <x v="1"/>
    <x v="222"/>
    <x v="13"/>
  </r>
  <r>
    <n v="10473"/>
    <x v="41"/>
    <s v="Davolio, Nancy"/>
    <x v="180"/>
    <d v="1997-03-21T00:00:00"/>
    <x v="0"/>
    <x v="223"/>
    <x v="13"/>
  </r>
  <r>
    <n v="10474"/>
    <x v="42"/>
    <s v="Buchanan, Steven"/>
    <x v="180"/>
    <d v="1997-03-21T00:00:00"/>
    <x v="2"/>
    <x v="224"/>
    <x v="7"/>
  </r>
  <r>
    <n v="10475"/>
    <x v="4"/>
    <s v="Dodsworth, Anne"/>
    <x v="181"/>
    <d v="1997-04-04T00:00:00"/>
    <x v="1"/>
    <x v="225"/>
    <x v="3"/>
  </r>
  <r>
    <n v="10476"/>
    <x v="8"/>
    <s v="Callahan, Laura"/>
    <x v="182"/>
    <d v="1997-03-24T00:00:00"/>
    <x v="0"/>
    <x v="226"/>
    <x v="5"/>
  </r>
  <r>
    <n v="10477"/>
    <x v="49"/>
    <s v="Buchanan, Steven"/>
    <x v="182"/>
    <d v="1997-03-25T00:00:00"/>
    <x v="2"/>
    <x v="227"/>
    <x v="15"/>
  </r>
  <r>
    <n v="10478"/>
    <x v="3"/>
    <s v="Fuller, Andrew"/>
    <x v="183"/>
    <d v="1997-03-26T00:00:00"/>
    <x v="0"/>
    <x v="228"/>
    <x v="0"/>
  </r>
  <r>
    <n v="10479"/>
    <x v="13"/>
    <s v="Leverling, Janet"/>
    <x v="184"/>
    <d v="1997-03-21T00:00:00"/>
    <x v="0"/>
    <x v="229"/>
    <x v="8"/>
  </r>
  <r>
    <n v="10480"/>
    <x v="68"/>
    <s v="Suyama, Michael"/>
    <x v="185"/>
    <d v="1997-03-24T00:00:00"/>
    <x v="2"/>
    <x v="44"/>
    <x v="0"/>
  </r>
  <r>
    <n v="10481"/>
    <x v="30"/>
    <s v="Callahan, Laura"/>
    <x v="185"/>
    <d v="1997-03-25T00:00:00"/>
    <x v="2"/>
    <x v="230"/>
    <x v="2"/>
  </r>
  <r>
    <n v="10482"/>
    <x v="75"/>
    <s v="Davolio, Nancy"/>
    <x v="186"/>
    <d v="1997-04-10T00:00:00"/>
    <x v="0"/>
    <x v="231"/>
    <x v="8"/>
  </r>
  <r>
    <n v="10483"/>
    <x v="19"/>
    <s v="King, Robert"/>
    <x v="187"/>
    <d v="1997-04-25T00:00:00"/>
    <x v="2"/>
    <x v="232"/>
    <x v="8"/>
  </r>
  <r>
    <n v="10484"/>
    <x v="32"/>
    <s v="Leverling, Janet"/>
    <x v="187"/>
    <d v="1997-04-01T00:00:00"/>
    <x v="0"/>
    <x v="233"/>
    <x v="13"/>
  </r>
  <r>
    <n v="10485"/>
    <x v="66"/>
    <s v="Peacock, Margaret"/>
    <x v="188"/>
    <d v="1997-03-31T00:00:00"/>
    <x v="2"/>
    <x v="234"/>
    <x v="5"/>
  </r>
  <r>
    <n v="10486"/>
    <x v="8"/>
    <s v="Davolio, Nancy"/>
    <x v="189"/>
    <d v="1997-04-02T00:00:00"/>
    <x v="2"/>
    <x v="235"/>
    <x v="5"/>
  </r>
  <r>
    <n v="10487"/>
    <x v="61"/>
    <s v="Fuller, Andrew"/>
    <x v="189"/>
    <d v="1997-03-28T00:00:00"/>
    <x v="2"/>
    <x v="236"/>
    <x v="2"/>
  </r>
  <r>
    <n v="10488"/>
    <x v="17"/>
    <s v="Callahan, Laura"/>
    <x v="190"/>
    <d v="1997-04-02T00:00:00"/>
    <x v="2"/>
    <x v="218"/>
    <x v="1"/>
  </r>
  <r>
    <n v="10489"/>
    <x v="53"/>
    <s v="Suyama, Michael"/>
    <x v="191"/>
    <d v="1997-04-09T00:00:00"/>
    <x v="2"/>
    <x v="237"/>
    <x v="6"/>
  </r>
  <r>
    <n v="10490"/>
    <x v="8"/>
    <s v="King, Robert"/>
    <x v="192"/>
    <d v="1997-04-03T00:00:00"/>
    <x v="2"/>
    <x v="238"/>
    <x v="5"/>
  </r>
  <r>
    <n v="10491"/>
    <x v="46"/>
    <s v="Callahan, Laura"/>
    <x v="192"/>
    <d v="1997-04-08T00:00:00"/>
    <x v="0"/>
    <x v="239"/>
    <x v="15"/>
  </r>
  <r>
    <n v="10492"/>
    <x v="65"/>
    <s v="Leverling, Janet"/>
    <x v="193"/>
    <d v="1997-04-11T00:00:00"/>
    <x v="1"/>
    <x v="240"/>
    <x v="16"/>
  </r>
  <r>
    <n v="10493"/>
    <x v="52"/>
    <s v="Peacock, Margaret"/>
    <x v="194"/>
    <d v="1997-04-10T00:00:00"/>
    <x v="0"/>
    <x v="241"/>
    <x v="0"/>
  </r>
  <r>
    <n v="10494"/>
    <x v="33"/>
    <s v="Peacock, Margaret"/>
    <x v="194"/>
    <d v="1997-04-09T00:00:00"/>
    <x v="2"/>
    <x v="242"/>
    <x v="2"/>
  </r>
  <r>
    <n v="10495"/>
    <x v="76"/>
    <s v="Leverling, Janet"/>
    <x v="195"/>
    <d v="1997-04-11T00:00:00"/>
    <x v="0"/>
    <x v="243"/>
    <x v="16"/>
  </r>
  <r>
    <n v="10496"/>
    <x v="1"/>
    <s v="King, Robert"/>
    <x v="196"/>
    <d v="1997-04-07T00:00:00"/>
    <x v="2"/>
    <x v="244"/>
    <x v="2"/>
  </r>
  <r>
    <n v="10497"/>
    <x v="27"/>
    <s v="King, Robert"/>
    <x v="196"/>
    <d v="1997-04-07T00:00:00"/>
    <x v="1"/>
    <x v="245"/>
    <x v="1"/>
  </r>
  <r>
    <n v="10498"/>
    <x v="8"/>
    <s v="Callahan, Laura"/>
    <x v="197"/>
    <d v="1997-04-11T00:00:00"/>
    <x v="2"/>
    <x v="246"/>
    <x v="5"/>
  </r>
  <r>
    <n v="10499"/>
    <x v="29"/>
    <s v="Peacock, Margaret"/>
    <x v="198"/>
    <d v="1997-04-16T00:00:00"/>
    <x v="2"/>
    <x v="247"/>
    <x v="5"/>
  </r>
  <r>
    <n v="10500"/>
    <x v="52"/>
    <s v="Suyama, Michael"/>
    <x v="199"/>
    <d v="1997-04-17T00:00:00"/>
    <x v="1"/>
    <x v="248"/>
    <x v="0"/>
  </r>
  <r>
    <n v="10501"/>
    <x v="77"/>
    <s v="Dodsworth, Anne"/>
    <x v="199"/>
    <d v="1997-04-16T00:00:00"/>
    <x v="0"/>
    <x v="249"/>
    <x v="1"/>
  </r>
  <r>
    <n v="10502"/>
    <x v="42"/>
    <s v="Fuller, Andrew"/>
    <x v="200"/>
    <d v="1997-04-29T00:00:00"/>
    <x v="1"/>
    <x v="250"/>
    <x v="7"/>
  </r>
  <r>
    <n v="10503"/>
    <x v="34"/>
    <s v="Suyama, Michael"/>
    <x v="201"/>
    <d v="1997-04-16T00:00:00"/>
    <x v="2"/>
    <x v="251"/>
    <x v="14"/>
  </r>
  <r>
    <n v="10504"/>
    <x v="19"/>
    <s v="Peacock, Margaret"/>
    <x v="201"/>
    <d v="1997-04-18T00:00:00"/>
    <x v="0"/>
    <x v="252"/>
    <x v="8"/>
  </r>
  <r>
    <n v="10505"/>
    <x v="48"/>
    <s v="Leverling, Janet"/>
    <x v="202"/>
    <d v="1997-04-21T00:00:00"/>
    <x v="0"/>
    <x v="253"/>
    <x v="16"/>
  </r>
  <r>
    <n v="10506"/>
    <x v="43"/>
    <s v="Dodsworth, Anne"/>
    <x v="203"/>
    <d v="1997-05-02T00:00:00"/>
    <x v="2"/>
    <x v="254"/>
    <x v="1"/>
  </r>
  <r>
    <n v="10507"/>
    <x v="58"/>
    <s v="King, Robert"/>
    <x v="203"/>
    <d v="1997-04-22T00:00:00"/>
    <x v="1"/>
    <x v="255"/>
    <x v="7"/>
  </r>
  <r>
    <n v="10508"/>
    <x v="67"/>
    <s v="Davolio, Nancy"/>
    <x v="204"/>
    <d v="1997-05-13T00:00:00"/>
    <x v="2"/>
    <x v="256"/>
    <x v="1"/>
  </r>
  <r>
    <n v="10509"/>
    <x v="77"/>
    <s v="Peacock, Margaret"/>
    <x v="205"/>
    <d v="1997-04-29T00:00:00"/>
    <x v="1"/>
    <x v="257"/>
    <x v="1"/>
  </r>
  <r>
    <n v="10510"/>
    <x v="44"/>
    <s v="Suyama, Michael"/>
    <x v="206"/>
    <d v="1997-04-28T00:00:00"/>
    <x v="0"/>
    <x v="258"/>
    <x v="8"/>
  </r>
  <r>
    <n v="10511"/>
    <x v="47"/>
    <s v="Peacock, Margaret"/>
    <x v="206"/>
    <d v="1997-04-21T00:00:00"/>
    <x v="0"/>
    <x v="259"/>
    <x v="0"/>
  </r>
  <r>
    <n v="10512"/>
    <x v="51"/>
    <s v="King, Robert"/>
    <x v="207"/>
    <d v="1997-04-24T00:00:00"/>
    <x v="2"/>
    <x v="260"/>
    <x v="2"/>
  </r>
  <r>
    <n v="10513"/>
    <x v="35"/>
    <s v="King, Robert"/>
    <x v="208"/>
    <d v="1997-04-28T00:00:00"/>
    <x v="1"/>
    <x v="261"/>
    <x v="1"/>
  </r>
  <r>
    <n v="10514"/>
    <x v="9"/>
    <s v="Leverling, Janet"/>
    <x v="208"/>
    <d v="1997-05-16T00:00:00"/>
    <x v="2"/>
    <x v="262"/>
    <x v="6"/>
  </r>
  <r>
    <n v="10515"/>
    <x v="21"/>
    <s v="Fuller, Andrew"/>
    <x v="209"/>
    <d v="1997-05-23T00:00:00"/>
    <x v="1"/>
    <x v="263"/>
    <x v="1"/>
  </r>
  <r>
    <n v="10516"/>
    <x v="34"/>
    <s v="Fuller, Andrew"/>
    <x v="210"/>
    <d v="1997-05-01T00:00:00"/>
    <x v="0"/>
    <x v="264"/>
    <x v="14"/>
  </r>
  <r>
    <n v="10517"/>
    <x v="78"/>
    <s v="Leverling, Janet"/>
    <x v="210"/>
    <d v="1997-04-29T00:00:00"/>
    <x v="0"/>
    <x v="265"/>
    <x v="13"/>
  </r>
  <r>
    <n v="10518"/>
    <x v="24"/>
    <s v="Peacock, Margaret"/>
    <x v="211"/>
    <d v="1997-05-05T00:00:00"/>
    <x v="2"/>
    <x v="266"/>
    <x v="7"/>
  </r>
  <r>
    <n v="10519"/>
    <x v="5"/>
    <s v="Suyama, Michael"/>
    <x v="212"/>
    <d v="1997-05-01T00:00:00"/>
    <x v="0"/>
    <x v="267"/>
    <x v="4"/>
  </r>
  <r>
    <n v="10520"/>
    <x v="64"/>
    <s v="King, Robert"/>
    <x v="213"/>
    <d v="1997-05-01T00:00:00"/>
    <x v="1"/>
    <x v="268"/>
    <x v="19"/>
  </r>
  <r>
    <n v="10521"/>
    <x v="79"/>
    <s v="Callahan, Laura"/>
    <x v="213"/>
    <d v="1997-05-02T00:00:00"/>
    <x v="2"/>
    <x v="269"/>
    <x v="20"/>
  </r>
  <r>
    <n v="10522"/>
    <x v="27"/>
    <s v="Peacock, Margaret"/>
    <x v="214"/>
    <d v="1997-05-06T00:00:00"/>
    <x v="1"/>
    <x v="270"/>
    <x v="1"/>
  </r>
  <r>
    <n v="10523"/>
    <x v="55"/>
    <s v="King, Robert"/>
    <x v="215"/>
    <d v="1997-05-30T00:00:00"/>
    <x v="2"/>
    <x v="271"/>
    <x v="13"/>
  </r>
  <r>
    <n v="10524"/>
    <x v="26"/>
    <s v="Davolio, Nancy"/>
    <x v="215"/>
    <d v="1997-05-07T00:00:00"/>
    <x v="2"/>
    <x v="272"/>
    <x v="9"/>
  </r>
  <r>
    <n v="10525"/>
    <x v="47"/>
    <s v="Davolio, Nancy"/>
    <x v="216"/>
    <d v="1997-05-23T00:00:00"/>
    <x v="2"/>
    <x v="273"/>
    <x v="0"/>
  </r>
  <r>
    <n v="10526"/>
    <x v="16"/>
    <s v="Peacock, Margaret"/>
    <x v="217"/>
    <d v="1997-05-15T00:00:00"/>
    <x v="2"/>
    <x v="274"/>
    <x v="10"/>
  </r>
  <r>
    <n v="10527"/>
    <x v="21"/>
    <s v="King, Robert"/>
    <x v="217"/>
    <d v="1997-05-07T00:00:00"/>
    <x v="1"/>
    <x v="275"/>
    <x v="1"/>
  </r>
  <r>
    <n v="10528"/>
    <x v="80"/>
    <s v="Suyama, Michael"/>
    <x v="218"/>
    <d v="1997-05-09T00:00:00"/>
    <x v="2"/>
    <x v="276"/>
    <x v="8"/>
  </r>
  <r>
    <n v="10529"/>
    <x v="81"/>
    <s v="Buchanan, Steven"/>
    <x v="219"/>
    <d v="1997-05-09T00:00:00"/>
    <x v="2"/>
    <x v="277"/>
    <x v="3"/>
  </r>
  <r>
    <n v="10530"/>
    <x v="53"/>
    <s v="Leverling, Janet"/>
    <x v="220"/>
    <d v="1997-05-12T00:00:00"/>
    <x v="2"/>
    <x v="278"/>
    <x v="6"/>
  </r>
  <r>
    <n v="10531"/>
    <x v="69"/>
    <s v="King, Robert"/>
    <x v="220"/>
    <d v="1997-05-19T00:00:00"/>
    <x v="1"/>
    <x v="207"/>
    <x v="20"/>
  </r>
  <r>
    <n v="10532"/>
    <x v="57"/>
    <s v="King, Robert"/>
    <x v="221"/>
    <d v="1997-05-12T00:00:00"/>
    <x v="0"/>
    <x v="279"/>
    <x v="13"/>
  </r>
  <r>
    <n v="10533"/>
    <x v="14"/>
    <s v="Callahan, Laura"/>
    <x v="222"/>
    <d v="1997-05-22T00:00:00"/>
    <x v="1"/>
    <x v="280"/>
    <x v="9"/>
  </r>
  <r>
    <n v="10534"/>
    <x v="27"/>
    <s v="Callahan, Laura"/>
    <x v="222"/>
    <d v="1997-05-14T00:00:00"/>
    <x v="2"/>
    <x v="281"/>
    <x v="1"/>
  </r>
  <r>
    <n v="10535"/>
    <x v="58"/>
    <s v="Peacock, Margaret"/>
    <x v="223"/>
    <d v="1997-05-21T00:00:00"/>
    <x v="1"/>
    <x v="282"/>
    <x v="7"/>
  </r>
  <r>
    <n v="10536"/>
    <x v="27"/>
    <s v="Leverling, Janet"/>
    <x v="224"/>
    <d v="1997-06-06T00:00:00"/>
    <x v="2"/>
    <x v="283"/>
    <x v="1"/>
  </r>
  <r>
    <n v="10537"/>
    <x v="6"/>
    <s v="Davolio, Nancy"/>
    <x v="224"/>
    <d v="1997-05-19T00:00:00"/>
    <x v="1"/>
    <x v="284"/>
    <x v="4"/>
  </r>
  <r>
    <n v="10538"/>
    <x v="32"/>
    <s v="Dodsworth, Anne"/>
    <x v="225"/>
    <d v="1997-05-16T00:00:00"/>
    <x v="0"/>
    <x v="285"/>
    <x v="13"/>
  </r>
  <r>
    <n v="10539"/>
    <x v="32"/>
    <s v="Suyama, Michael"/>
    <x v="226"/>
    <d v="1997-05-23T00:00:00"/>
    <x v="0"/>
    <x v="286"/>
    <x v="13"/>
  </r>
  <r>
    <n v="10540"/>
    <x v="21"/>
    <s v="Leverling, Janet"/>
    <x v="227"/>
    <d v="1997-06-13T00:00:00"/>
    <x v="0"/>
    <x v="287"/>
    <x v="1"/>
  </r>
  <r>
    <n v="10541"/>
    <x v="2"/>
    <s v="Fuller, Andrew"/>
    <x v="227"/>
    <d v="1997-05-29T00:00:00"/>
    <x v="1"/>
    <x v="288"/>
    <x v="2"/>
  </r>
  <r>
    <n v="10542"/>
    <x v="43"/>
    <s v="Davolio, Nancy"/>
    <x v="228"/>
    <d v="1997-05-26T00:00:00"/>
    <x v="0"/>
    <x v="289"/>
    <x v="1"/>
  </r>
  <r>
    <n v="10543"/>
    <x v="29"/>
    <s v="Callahan, Laura"/>
    <x v="229"/>
    <d v="1997-05-23T00:00:00"/>
    <x v="2"/>
    <x v="290"/>
    <x v="5"/>
  </r>
  <r>
    <n v="10544"/>
    <x v="37"/>
    <s v="Peacock, Margaret"/>
    <x v="229"/>
    <d v="1997-05-30T00:00:00"/>
    <x v="1"/>
    <x v="291"/>
    <x v="8"/>
  </r>
  <r>
    <n v="10545"/>
    <x v="75"/>
    <s v="Callahan, Laura"/>
    <x v="230"/>
    <d v="1997-06-26T00:00:00"/>
    <x v="2"/>
    <x v="292"/>
    <x v="8"/>
  </r>
  <r>
    <n v="10546"/>
    <x v="3"/>
    <s v="Davolio, Nancy"/>
    <x v="231"/>
    <d v="1997-05-27T00:00:00"/>
    <x v="0"/>
    <x v="293"/>
    <x v="0"/>
  </r>
  <r>
    <n v="10547"/>
    <x v="55"/>
    <s v="Leverling, Janet"/>
    <x v="231"/>
    <d v="1997-06-02T00:00:00"/>
    <x v="2"/>
    <x v="294"/>
    <x v="13"/>
  </r>
  <r>
    <n v="10548"/>
    <x v="73"/>
    <s v="Leverling, Janet"/>
    <x v="232"/>
    <d v="1997-06-02T00:00:00"/>
    <x v="2"/>
    <x v="295"/>
    <x v="1"/>
  </r>
  <r>
    <n v="10549"/>
    <x v="21"/>
    <s v="Buchanan, Steven"/>
    <x v="233"/>
    <d v="1997-05-30T00:00:00"/>
    <x v="1"/>
    <x v="296"/>
    <x v="1"/>
  </r>
  <r>
    <n v="10550"/>
    <x v="36"/>
    <s v="King, Robert"/>
    <x v="234"/>
    <d v="1997-06-06T00:00:00"/>
    <x v="0"/>
    <x v="297"/>
    <x v="12"/>
  </r>
  <r>
    <n v="10551"/>
    <x v="46"/>
    <s v="Peacock, Margaret"/>
    <x v="234"/>
    <d v="1997-06-06T00:00:00"/>
    <x v="0"/>
    <x v="298"/>
    <x v="15"/>
  </r>
  <r>
    <n v="10552"/>
    <x v="8"/>
    <s v="Fuller, Andrew"/>
    <x v="235"/>
    <d v="1997-06-05T00:00:00"/>
    <x v="1"/>
    <x v="299"/>
    <x v="5"/>
  </r>
  <r>
    <n v="10553"/>
    <x v="16"/>
    <s v="Fuller, Andrew"/>
    <x v="236"/>
    <d v="1997-06-03T00:00:00"/>
    <x v="2"/>
    <x v="300"/>
    <x v="10"/>
  </r>
  <r>
    <n v="10554"/>
    <x v="67"/>
    <s v="Peacock, Margaret"/>
    <x v="236"/>
    <d v="1997-06-05T00:00:00"/>
    <x v="0"/>
    <x v="301"/>
    <x v="1"/>
  </r>
  <r>
    <n v="10555"/>
    <x v="44"/>
    <s v="Suyama, Michael"/>
    <x v="237"/>
    <d v="1997-06-04T00:00:00"/>
    <x v="0"/>
    <x v="302"/>
    <x v="8"/>
  </r>
  <r>
    <n v="10556"/>
    <x v="50"/>
    <s v="Fuller, Andrew"/>
    <x v="238"/>
    <d v="1997-06-13T00:00:00"/>
    <x v="1"/>
    <x v="303"/>
    <x v="17"/>
  </r>
  <r>
    <n v="10557"/>
    <x v="27"/>
    <s v="Dodsworth, Anne"/>
    <x v="238"/>
    <d v="1997-06-06T00:00:00"/>
    <x v="2"/>
    <x v="304"/>
    <x v="1"/>
  </r>
  <r>
    <n v="10558"/>
    <x v="54"/>
    <s v="Davolio, Nancy"/>
    <x v="239"/>
    <d v="1997-06-10T00:00:00"/>
    <x v="2"/>
    <x v="305"/>
    <x v="13"/>
  </r>
  <r>
    <n v="10559"/>
    <x v="15"/>
    <s v="Suyama, Michael"/>
    <x v="240"/>
    <d v="1997-06-13T00:00:00"/>
    <x v="1"/>
    <x v="306"/>
    <x v="0"/>
  </r>
  <r>
    <n v="10560"/>
    <x v="17"/>
    <s v="Callahan, Laura"/>
    <x v="241"/>
    <d v="1997-06-09T00:00:00"/>
    <x v="1"/>
    <x v="307"/>
    <x v="1"/>
  </r>
  <r>
    <n v="10561"/>
    <x v="14"/>
    <s v="Fuller, Andrew"/>
    <x v="241"/>
    <d v="1997-06-09T00:00:00"/>
    <x v="2"/>
    <x v="308"/>
    <x v="9"/>
  </r>
  <r>
    <n v="10562"/>
    <x v="31"/>
    <s v="Davolio, Nancy"/>
    <x v="242"/>
    <d v="1997-06-12T00:00:00"/>
    <x v="1"/>
    <x v="309"/>
    <x v="11"/>
  </r>
  <r>
    <n v="10563"/>
    <x v="30"/>
    <s v="Fuller, Andrew"/>
    <x v="243"/>
    <d v="1997-06-24T00:00:00"/>
    <x v="2"/>
    <x v="310"/>
    <x v="2"/>
  </r>
  <r>
    <n v="10564"/>
    <x v="13"/>
    <s v="Peacock, Margaret"/>
    <x v="243"/>
    <d v="1997-06-16T00:00:00"/>
    <x v="0"/>
    <x v="311"/>
    <x v="8"/>
  </r>
  <r>
    <n v="10565"/>
    <x v="48"/>
    <s v="Callahan, Laura"/>
    <x v="244"/>
    <d v="1997-06-18T00:00:00"/>
    <x v="2"/>
    <x v="312"/>
    <x v="16"/>
  </r>
  <r>
    <n v="10566"/>
    <x v="15"/>
    <s v="Dodsworth, Anne"/>
    <x v="245"/>
    <d v="1997-06-18T00:00:00"/>
    <x v="1"/>
    <x v="313"/>
    <x v="0"/>
  </r>
  <r>
    <n v="10567"/>
    <x v="34"/>
    <s v="Davolio, Nancy"/>
    <x v="245"/>
    <d v="1997-06-17T00:00:00"/>
    <x v="1"/>
    <x v="314"/>
    <x v="14"/>
  </r>
  <r>
    <n v="10568"/>
    <x v="59"/>
    <s v="Leverling, Janet"/>
    <x v="246"/>
    <d v="1997-07-09T00:00:00"/>
    <x v="0"/>
    <x v="315"/>
    <x v="12"/>
  </r>
  <r>
    <n v="10569"/>
    <x v="13"/>
    <s v="Buchanan, Steven"/>
    <x v="247"/>
    <d v="1997-07-11T00:00:00"/>
    <x v="1"/>
    <x v="316"/>
    <x v="8"/>
  </r>
  <r>
    <n v="10570"/>
    <x v="48"/>
    <s v="Leverling, Janet"/>
    <x v="248"/>
    <d v="1997-06-19T00:00:00"/>
    <x v="0"/>
    <x v="317"/>
    <x v="16"/>
  </r>
  <r>
    <n v="10571"/>
    <x v="9"/>
    <s v="Callahan, Laura"/>
    <x v="248"/>
    <d v="1997-07-04T00:00:00"/>
    <x v="0"/>
    <x v="318"/>
    <x v="6"/>
  </r>
  <r>
    <n v="10572"/>
    <x v="26"/>
    <s v="Leverling, Janet"/>
    <x v="249"/>
    <d v="1997-06-25T00:00:00"/>
    <x v="2"/>
    <x v="319"/>
    <x v="9"/>
  </r>
  <r>
    <n v="10573"/>
    <x v="58"/>
    <s v="King, Robert"/>
    <x v="250"/>
    <d v="1997-06-20T00:00:00"/>
    <x v="0"/>
    <x v="320"/>
    <x v="7"/>
  </r>
  <r>
    <n v="10574"/>
    <x v="82"/>
    <s v="Peacock, Margaret"/>
    <x v="250"/>
    <d v="1997-06-30T00:00:00"/>
    <x v="2"/>
    <x v="321"/>
    <x v="8"/>
  </r>
  <r>
    <n v="10575"/>
    <x v="25"/>
    <s v="Buchanan, Steven"/>
    <x v="251"/>
    <d v="1997-06-30T00:00:00"/>
    <x v="1"/>
    <x v="322"/>
    <x v="1"/>
  </r>
  <r>
    <n v="10576"/>
    <x v="24"/>
    <s v="Leverling, Janet"/>
    <x v="252"/>
    <d v="1997-06-30T00:00:00"/>
    <x v="0"/>
    <x v="323"/>
    <x v="7"/>
  </r>
  <r>
    <n v="10577"/>
    <x v="82"/>
    <s v="Dodsworth, Anne"/>
    <x v="252"/>
    <d v="1997-06-30T00:00:00"/>
    <x v="2"/>
    <x v="324"/>
    <x v="8"/>
  </r>
  <r>
    <n v="10578"/>
    <x v="32"/>
    <s v="Peacock, Margaret"/>
    <x v="253"/>
    <d v="1997-07-25T00:00:00"/>
    <x v="0"/>
    <x v="325"/>
    <x v="13"/>
  </r>
  <r>
    <n v="10579"/>
    <x v="83"/>
    <s v="Davolio, Nancy"/>
    <x v="254"/>
    <d v="1997-07-04T00:00:00"/>
    <x v="2"/>
    <x v="326"/>
    <x v="8"/>
  </r>
  <r>
    <n v="10580"/>
    <x v="67"/>
    <s v="Peacock, Margaret"/>
    <x v="255"/>
    <d v="1997-07-01T00:00:00"/>
    <x v="0"/>
    <x v="327"/>
    <x v="1"/>
  </r>
  <r>
    <n v="10581"/>
    <x v="51"/>
    <s v="Leverling, Janet"/>
    <x v="255"/>
    <d v="1997-07-02T00:00:00"/>
    <x v="1"/>
    <x v="328"/>
    <x v="2"/>
  </r>
  <r>
    <n v="10582"/>
    <x v="77"/>
    <s v="Leverling, Janet"/>
    <x v="256"/>
    <d v="1997-07-14T00:00:00"/>
    <x v="2"/>
    <x v="329"/>
    <x v="1"/>
  </r>
  <r>
    <n v="10583"/>
    <x v="16"/>
    <s v="Fuller, Andrew"/>
    <x v="257"/>
    <d v="1997-07-04T00:00:00"/>
    <x v="2"/>
    <x v="330"/>
    <x v="10"/>
  </r>
  <r>
    <n v="10584"/>
    <x v="15"/>
    <s v="Peacock, Margaret"/>
    <x v="257"/>
    <d v="1997-07-04T00:00:00"/>
    <x v="1"/>
    <x v="331"/>
    <x v="0"/>
  </r>
  <r>
    <n v="10585"/>
    <x v="7"/>
    <s v="King, Robert"/>
    <x v="258"/>
    <d v="1997-07-10T00:00:00"/>
    <x v="1"/>
    <x v="332"/>
    <x v="2"/>
  </r>
  <r>
    <n v="10586"/>
    <x v="31"/>
    <s v="Dodsworth, Anne"/>
    <x v="259"/>
    <d v="1997-07-09T00:00:00"/>
    <x v="1"/>
    <x v="333"/>
    <x v="11"/>
  </r>
  <r>
    <n v="10587"/>
    <x v="12"/>
    <s v="Davolio, Nancy"/>
    <x v="259"/>
    <d v="1997-07-09T00:00:00"/>
    <x v="1"/>
    <x v="334"/>
    <x v="2"/>
  </r>
  <r>
    <n v="10588"/>
    <x v="21"/>
    <s v="Fuller, Andrew"/>
    <x v="260"/>
    <d v="1997-07-10T00:00:00"/>
    <x v="0"/>
    <x v="335"/>
    <x v="1"/>
  </r>
  <r>
    <n v="10589"/>
    <x v="80"/>
    <s v="Callahan, Laura"/>
    <x v="261"/>
    <d v="1997-07-14T00:00:00"/>
    <x v="2"/>
    <x v="336"/>
    <x v="8"/>
  </r>
  <r>
    <n v="10590"/>
    <x v="48"/>
    <s v="Peacock, Margaret"/>
    <x v="262"/>
    <d v="1997-07-14T00:00:00"/>
    <x v="0"/>
    <x v="337"/>
    <x v="16"/>
  </r>
  <r>
    <n v="10591"/>
    <x v="60"/>
    <s v="Davolio, Nancy"/>
    <x v="262"/>
    <d v="1997-07-16T00:00:00"/>
    <x v="1"/>
    <x v="338"/>
    <x v="17"/>
  </r>
  <r>
    <n v="10592"/>
    <x v="27"/>
    <s v="Leverling, Janet"/>
    <x v="263"/>
    <d v="1997-07-16T00:00:00"/>
    <x v="1"/>
    <x v="339"/>
    <x v="1"/>
  </r>
  <r>
    <n v="10593"/>
    <x v="27"/>
    <s v="King, Robert"/>
    <x v="264"/>
    <d v="1997-08-13T00:00:00"/>
    <x v="2"/>
    <x v="340"/>
    <x v="1"/>
  </r>
  <r>
    <n v="10594"/>
    <x v="11"/>
    <s v="Leverling, Janet"/>
    <x v="264"/>
    <d v="1997-07-16T00:00:00"/>
    <x v="2"/>
    <x v="341"/>
    <x v="8"/>
  </r>
  <r>
    <n v="10595"/>
    <x v="9"/>
    <s v="Fuller, Andrew"/>
    <x v="265"/>
    <d v="1997-07-14T00:00:00"/>
    <x v="1"/>
    <x v="342"/>
    <x v="6"/>
  </r>
  <r>
    <n v="10596"/>
    <x v="19"/>
    <s v="Callahan, Laura"/>
    <x v="266"/>
    <d v="1997-08-12T00:00:00"/>
    <x v="1"/>
    <x v="343"/>
    <x v="8"/>
  </r>
  <r>
    <n v="10597"/>
    <x v="53"/>
    <s v="King, Robert"/>
    <x v="266"/>
    <d v="1997-07-18T00:00:00"/>
    <x v="0"/>
    <x v="344"/>
    <x v="6"/>
  </r>
  <r>
    <n v="10598"/>
    <x v="13"/>
    <s v="Davolio, Nancy"/>
    <x v="267"/>
    <d v="1997-07-18T00:00:00"/>
    <x v="0"/>
    <x v="345"/>
    <x v="8"/>
  </r>
  <r>
    <n v="10599"/>
    <x v="32"/>
    <s v="Suyama, Michael"/>
    <x v="268"/>
    <d v="1997-07-21T00:00:00"/>
    <x v="0"/>
    <x v="346"/>
    <x v="13"/>
  </r>
  <r>
    <n v="10600"/>
    <x v="63"/>
    <s v="Peacock, Margaret"/>
    <x v="269"/>
    <d v="1997-07-21T00:00:00"/>
    <x v="1"/>
    <x v="347"/>
    <x v="8"/>
  </r>
  <r>
    <n v="10601"/>
    <x v="8"/>
    <s v="King, Robert"/>
    <x v="269"/>
    <d v="1997-07-22T00:00:00"/>
    <x v="1"/>
    <x v="348"/>
    <x v="5"/>
  </r>
  <r>
    <n v="10602"/>
    <x v="60"/>
    <s v="Callahan, Laura"/>
    <x v="270"/>
    <d v="1997-07-22T00:00:00"/>
    <x v="2"/>
    <x v="349"/>
    <x v="17"/>
  </r>
  <r>
    <n v="10603"/>
    <x v="44"/>
    <s v="Callahan, Laura"/>
    <x v="271"/>
    <d v="1997-08-08T00:00:00"/>
    <x v="2"/>
    <x v="350"/>
    <x v="8"/>
  </r>
  <r>
    <n v="10604"/>
    <x v="46"/>
    <s v="Davolio, Nancy"/>
    <x v="271"/>
    <d v="1997-07-29T00:00:00"/>
    <x v="1"/>
    <x v="351"/>
    <x v="15"/>
  </r>
  <r>
    <n v="10605"/>
    <x v="48"/>
    <s v="Davolio, Nancy"/>
    <x v="272"/>
    <d v="1997-07-29T00:00:00"/>
    <x v="2"/>
    <x v="352"/>
    <x v="16"/>
  </r>
  <r>
    <n v="10606"/>
    <x v="1"/>
    <s v="Peacock, Margaret"/>
    <x v="273"/>
    <d v="1997-07-31T00:00:00"/>
    <x v="0"/>
    <x v="353"/>
    <x v="2"/>
  </r>
  <r>
    <n v="10607"/>
    <x v="44"/>
    <s v="Buchanan, Steven"/>
    <x v="273"/>
    <d v="1997-07-25T00:00:00"/>
    <x v="1"/>
    <x v="354"/>
    <x v="8"/>
  </r>
  <r>
    <n v="10608"/>
    <x v="73"/>
    <s v="Peacock, Margaret"/>
    <x v="274"/>
    <d v="1997-08-01T00:00:00"/>
    <x v="2"/>
    <x v="355"/>
    <x v="1"/>
  </r>
  <r>
    <n v="10609"/>
    <x v="40"/>
    <s v="King, Robert"/>
    <x v="275"/>
    <d v="1997-07-30T00:00:00"/>
    <x v="2"/>
    <x v="356"/>
    <x v="0"/>
  </r>
  <r>
    <n v="10610"/>
    <x v="52"/>
    <s v="Callahan, Laura"/>
    <x v="276"/>
    <d v="1997-08-06T00:00:00"/>
    <x v="1"/>
    <x v="92"/>
    <x v="0"/>
  </r>
  <r>
    <n v="10611"/>
    <x v="62"/>
    <s v="Suyama, Michael"/>
    <x v="276"/>
    <d v="1997-08-01T00:00:00"/>
    <x v="2"/>
    <x v="357"/>
    <x v="18"/>
  </r>
  <r>
    <n v="10612"/>
    <x v="44"/>
    <s v="Davolio, Nancy"/>
    <x v="277"/>
    <d v="1997-08-01T00:00:00"/>
    <x v="2"/>
    <x v="358"/>
    <x v="8"/>
  </r>
  <r>
    <n v="10613"/>
    <x v="8"/>
    <s v="Peacock, Margaret"/>
    <x v="278"/>
    <d v="1997-08-01T00:00:00"/>
    <x v="2"/>
    <x v="359"/>
    <x v="5"/>
  </r>
  <r>
    <n v="10614"/>
    <x v="77"/>
    <s v="Callahan, Laura"/>
    <x v="278"/>
    <d v="1997-08-01T00:00:00"/>
    <x v="0"/>
    <x v="360"/>
    <x v="1"/>
  </r>
  <r>
    <n v="10615"/>
    <x v="0"/>
    <s v="Fuller, Andrew"/>
    <x v="279"/>
    <d v="1997-08-06T00:00:00"/>
    <x v="0"/>
    <x v="361"/>
    <x v="10"/>
  </r>
  <r>
    <n v="10616"/>
    <x v="80"/>
    <s v="Davolio, Nancy"/>
    <x v="280"/>
    <d v="1997-08-05T00:00:00"/>
    <x v="2"/>
    <x v="362"/>
    <x v="8"/>
  </r>
  <r>
    <n v="10617"/>
    <x v="80"/>
    <s v="Peacock, Margaret"/>
    <x v="280"/>
    <d v="1997-08-04T00:00:00"/>
    <x v="2"/>
    <x v="363"/>
    <x v="8"/>
  </r>
  <r>
    <n v="10618"/>
    <x v="48"/>
    <s v="Davolio, Nancy"/>
    <x v="281"/>
    <d v="1997-08-08T00:00:00"/>
    <x v="1"/>
    <x v="364"/>
    <x v="16"/>
  </r>
  <r>
    <n v="10619"/>
    <x v="48"/>
    <s v="Leverling, Janet"/>
    <x v="282"/>
    <d v="1997-08-07T00:00:00"/>
    <x v="0"/>
    <x v="365"/>
    <x v="16"/>
  </r>
  <r>
    <n v="10620"/>
    <x v="76"/>
    <s v="Fuller, Andrew"/>
    <x v="283"/>
    <d v="1997-08-14T00:00:00"/>
    <x v="0"/>
    <x v="366"/>
    <x v="16"/>
  </r>
  <r>
    <n v="10621"/>
    <x v="41"/>
    <s v="Peacock, Margaret"/>
    <x v="283"/>
    <d v="1997-08-11T00:00:00"/>
    <x v="2"/>
    <x v="367"/>
    <x v="13"/>
  </r>
  <r>
    <n v="10622"/>
    <x v="30"/>
    <s v="Peacock, Margaret"/>
    <x v="284"/>
    <d v="1997-08-11T00:00:00"/>
    <x v="0"/>
    <x v="368"/>
    <x v="2"/>
  </r>
  <r>
    <n v="10623"/>
    <x v="17"/>
    <s v="Callahan, Laura"/>
    <x v="285"/>
    <d v="1997-08-12T00:00:00"/>
    <x v="2"/>
    <x v="369"/>
    <x v="1"/>
  </r>
  <r>
    <n v="10624"/>
    <x v="84"/>
    <s v="Peacock, Margaret"/>
    <x v="285"/>
    <d v="1997-08-19T00:00:00"/>
    <x v="2"/>
    <x v="370"/>
    <x v="8"/>
  </r>
  <r>
    <n v="10625"/>
    <x v="38"/>
    <s v="Leverling, Janet"/>
    <x v="286"/>
    <d v="1997-08-14T00:00:00"/>
    <x v="1"/>
    <x v="371"/>
    <x v="7"/>
  </r>
  <r>
    <n v="10626"/>
    <x v="26"/>
    <s v="Davolio, Nancy"/>
    <x v="287"/>
    <d v="1997-08-20T00:00:00"/>
    <x v="2"/>
    <x v="372"/>
    <x v="9"/>
  </r>
  <r>
    <n v="10627"/>
    <x v="44"/>
    <s v="Callahan, Laura"/>
    <x v="287"/>
    <d v="1997-08-21T00:00:00"/>
    <x v="0"/>
    <x v="373"/>
    <x v="8"/>
  </r>
  <r>
    <n v="10628"/>
    <x v="15"/>
    <s v="Peacock, Margaret"/>
    <x v="288"/>
    <d v="1997-08-20T00:00:00"/>
    <x v="0"/>
    <x v="374"/>
    <x v="0"/>
  </r>
  <r>
    <n v="10629"/>
    <x v="36"/>
    <s v="Peacock, Margaret"/>
    <x v="288"/>
    <d v="1997-08-20T00:00:00"/>
    <x v="0"/>
    <x v="375"/>
    <x v="12"/>
  </r>
  <r>
    <n v="10630"/>
    <x v="43"/>
    <s v="Davolio, Nancy"/>
    <x v="289"/>
    <d v="1997-08-19T00:00:00"/>
    <x v="2"/>
    <x v="376"/>
    <x v="1"/>
  </r>
  <r>
    <n v="10631"/>
    <x v="52"/>
    <s v="Callahan, Laura"/>
    <x v="290"/>
    <d v="1997-08-15T00:00:00"/>
    <x v="1"/>
    <x v="377"/>
    <x v="0"/>
  </r>
  <r>
    <n v="10632"/>
    <x v="35"/>
    <s v="Callahan, Laura"/>
    <x v="290"/>
    <d v="1997-08-19T00:00:00"/>
    <x v="1"/>
    <x v="378"/>
    <x v="1"/>
  </r>
  <r>
    <n v="10633"/>
    <x v="9"/>
    <s v="King, Robert"/>
    <x v="291"/>
    <d v="1997-08-18T00:00:00"/>
    <x v="0"/>
    <x v="379"/>
    <x v="6"/>
  </r>
  <r>
    <n v="10634"/>
    <x v="68"/>
    <s v="Peacock, Margaret"/>
    <x v="291"/>
    <d v="1997-08-21T00:00:00"/>
    <x v="0"/>
    <x v="380"/>
    <x v="0"/>
  </r>
  <r>
    <n v="10635"/>
    <x v="23"/>
    <s v="Callahan, Laura"/>
    <x v="292"/>
    <d v="1997-08-21T00:00:00"/>
    <x v="0"/>
    <x v="381"/>
    <x v="11"/>
  </r>
  <r>
    <n v="10636"/>
    <x v="16"/>
    <s v="Peacock, Margaret"/>
    <x v="293"/>
    <d v="1997-08-26T00:00:00"/>
    <x v="1"/>
    <x v="47"/>
    <x v="10"/>
  </r>
  <r>
    <n v="10637"/>
    <x v="61"/>
    <s v="Suyama, Michael"/>
    <x v="293"/>
    <d v="1997-08-26T00:00:00"/>
    <x v="1"/>
    <x v="382"/>
    <x v="2"/>
  </r>
  <r>
    <n v="10638"/>
    <x v="66"/>
    <s v="Leverling, Janet"/>
    <x v="294"/>
    <d v="1997-09-01T00:00:00"/>
    <x v="1"/>
    <x v="383"/>
    <x v="5"/>
  </r>
  <r>
    <n v="10639"/>
    <x v="64"/>
    <s v="King, Robert"/>
    <x v="294"/>
    <d v="1997-08-27T00:00:00"/>
    <x v="0"/>
    <x v="384"/>
    <x v="19"/>
  </r>
  <r>
    <n v="10640"/>
    <x v="35"/>
    <s v="Peacock, Margaret"/>
    <x v="295"/>
    <d v="1997-08-28T00:00:00"/>
    <x v="1"/>
    <x v="385"/>
    <x v="1"/>
  </r>
  <r>
    <n v="10641"/>
    <x v="8"/>
    <s v="Peacock, Margaret"/>
    <x v="296"/>
    <d v="1997-08-26T00:00:00"/>
    <x v="2"/>
    <x v="386"/>
    <x v="5"/>
  </r>
  <r>
    <n v="10642"/>
    <x v="50"/>
    <s v="King, Robert"/>
    <x v="296"/>
    <d v="1997-09-05T00:00:00"/>
    <x v="0"/>
    <x v="387"/>
    <x v="17"/>
  </r>
  <r>
    <n v="10643"/>
    <x v="85"/>
    <s v="Suyama, Michael"/>
    <x v="297"/>
    <d v="1997-09-02T00:00:00"/>
    <x v="1"/>
    <x v="388"/>
    <x v="1"/>
  </r>
  <r>
    <n v="10644"/>
    <x v="7"/>
    <s v="Leverling, Janet"/>
    <x v="297"/>
    <d v="1997-09-01T00:00:00"/>
    <x v="2"/>
    <x v="389"/>
    <x v="2"/>
  </r>
  <r>
    <n v="10645"/>
    <x v="2"/>
    <s v="Peacock, Margaret"/>
    <x v="298"/>
    <d v="1997-09-02T00:00:00"/>
    <x v="1"/>
    <x v="390"/>
    <x v="2"/>
  </r>
  <r>
    <n v="10646"/>
    <x v="34"/>
    <s v="Dodsworth, Anne"/>
    <x v="299"/>
    <d v="1997-09-03T00:00:00"/>
    <x v="0"/>
    <x v="391"/>
    <x v="14"/>
  </r>
  <r>
    <n v="10647"/>
    <x v="12"/>
    <s v="Peacock, Margaret"/>
    <x v="299"/>
    <d v="1997-09-03T00:00:00"/>
    <x v="2"/>
    <x v="392"/>
    <x v="2"/>
  </r>
  <r>
    <n v="10648"/>
    <x v="30"/>
    <s v="Buchanan, Steven"/>
    <x v="300"/>
    <d v="1997-09-09T00:00:00"/>
    <x v="2"/>
    <x v="393"/>
    <x v="2"/>
  </r>
  <r>
    <n v="10649"/>
    <x v="81"/>
    <s v="Buchanan, Steven"/>
    <x v="300"/>
    <d v="1997-08-29T00:00:00"/>
    <x v="0"/>
    <x v="394"/>
    <x v="3"/>
  </r>
  <r>
    <n v="10650"/>
    <x v="51"/>
    <s v="Buchanan, Steven"/>
    <x v="301"/>
    <d v="1997-09-03T00:00:00"/>
    <x v="0"/>
    <x v="395"/>
    <x v="2"/>
  </r>
  <r>
    <n v="10651"/>
    <x v="35"/>
    <s v="Callahan, Laura"/>
    <x v="302"/>
    <d v="1997-09-11T00:00:00"/>
    <x v="2"/>
    <x v="396"/>
    <x v="1"/>
  </r>
  <r>
    <n v="10652"/>
    <x v="71"/>
    <s v="Peacock, Margaret"/>
    <x v="302"/>
    <d v="1997-09-08T00:00:00"/>
    <x v="2"/>
    <x v="397"/>
    <x v="2"/>
  </r>
  <r>
    <n v="10653"/>
    <x v="17"/>
    <s v="Davolio, Nancy"/>
    <x v="303"/>
    <d v="1997-09-19T00:00:00"/>
    <x v="1"/>
    <x v="398"/>
    <x v="1"/>
  </r>
  <r>
    <n v="10654"/>
    <x v="26"/>
    <s v="Buchanan, Steven"/>
    <x v="303"/>
    <d v="1997-09-11T00:00:00"/>
    <x v="1"/>
    <x v="399"/>
    <x v="9"/>
  </r>
  <r>
    <n v="10655"/>
    <x v="31"/>
    <s v="Davolio, Nancy"/>
    <x v="304"/>
    <d v="1997-09-11T00:00:00"/>
    <x v="2"/>
    <x v="226"/>
    <x v="11"/>
  </r>
  <r>
    <n v="10656"/>
    <x v="80"/>
    <s v="Suyama, Michael"/>
    <x v="305"/>
    <d v="1997-09-10T00:00:00"/>
    <x v="1"/>
    <x v="400"/>
    <x v="8"/>
  </r>
  <r>
    <n v="10657"/>
    <x v="44"/>
    <s v="Fuller, Andrew"/>
    <x v="305"/>
    <d v="1997-09-15T00:00:00"/>
    <x v="2"/>
    <x v="401"/>
    <x v="8"/>
  </r>
  <r>
    <n v="10658"/>
    <x v="21"/>
    <s v="Peacock, Margaret"/>
    <x v="306"/>
    <d v="1997-09-08T00:00:00"/>
    <x v="1"/>
    <x v="402"/>
    <x v="1"/>
  </r>
  <r>
    <n v="10659"/>
    <x v="61"/>
    <s v="King, Robert"/>
    <x v="306"/>
    <d v="1997-09-10T00:00:00"/>
    <x v="2"/>
    <x v="403"/>
    <x v="2"/>
  </r>
  <r>
    <n v="10660"/>
    <x v="63"/>
    <s v="Callahan, Laura"/>
    <x v="307"/>
    <d v="1997-10-15T00:00:00"/>
    <x v="1"/>
    <x v="404"/>
    <x v="8"/>
  </r>
  <r>
    <n v="10661"/>
    <x v="34"/>
    <s v="King, Robert"/>
    <x v="308"/>
    <d v="1997-09-15T00:00:00"/>
    <x v="0"/>
    <x v="169"/>
    <x v="14"/>
  </r>
  <r>
    <n v="10662"/>
    <x v="37"/>
    <s v="Leverling, Janet"/>
    <x v="308"/>
    <d v="1997-09-18T00:00:00"/>
    <x v="2"/>
    <x v="405"/>
    <x v="8"/>
  </r>
  <r>
    <n v="10663"/>
    <x v="47"/>
    <s v="Fuller, Andrew"/>
    <x v="309"/>
    <d v="1997-10-03T00:00:00"/>
    <x v="2"/>
    <x v="406"/>
    <x v="0"/>
  </r>
  <r>
    <n v="10664"/>
    <x v="46"/>
    <s v="Davolio, Nancy"/>
    <x v="309"/>
    <d v="1997-09-19T00:00:00"/>
    <x v="0"/>
    <x v="407"/>
    <x v="15"/>
  </r>
  <r>
    <n v="10665"/>
    <x v="37"/>
    <s v="Davolio, Nancy"/>
    <x v="310"/>
    <d v="1997-09-17T00:00:00"/>
    <x v="2"/>
    <x v="408"/>
    <x v="8"/>
  </r>
  <r>
    <n v="10666"/>
    <x v="6"/>
    <s v="King, Robert"/>
    <x v="311"/>
    <d v="1997-09-22T00:00:00"/>
    <x v="2"/>
    <x v="409"/>
    <x v="4"/>
  </r>
  <r>
    <n v="10667"/>
    <x v="9"/>
    <s v="King, Robert"/>
    <x v="311"/>
    <d v="1997-09-19T00:00:00"/>
    <x v="1"/>
    <x v="410"/>
    <x v="6"/>
  </r>
  <r>
    <n v="10668"/>
    <x v="35"/>
    <s v="Davolio, Nancy"/>
    <x v="312"/>
    <d v="1997-09-23T00:00:00"/>
    <x v="2"/>
    <x v="411"/>
    <x v="1"/>
  </r>
  <r>
    <n v="10669"/>
    <x v="50"/>
    <s v="Fuller, Andrew"/>
    <x v="312"/>
    <d v="1997-09-22T00:00:00"/>
    <x v="1"/>
    <x v="412"/>
    <x v="17"/>
  </r>
  <r>
    <n v="10670"/>
    <x v="17"/>
    <s v="Peacock, Margaret"/>
    <x v="313"/>
    <d v="1997-09-18T00:00:00"/>
    <x v="1"/>
    <x v="413"/>
    <x v="1"/>
  </r>
  <r>
    <n v="10671"/>
    <x v="86"/>
    <s v="Davolio, Nancy"/>
    <x v="314"/>
    <d v="1997-09-24T00:00:00"/>
    <x v="1"/>
    <x v="145"/>
    <x v="0"/>
  </r>
  <r>
    <n v="10672"/>
    <x v="26"/>
    <s v="Dodsworth, Anne"/>
    <x v="314"/>
    <d v="1997-09-26T00:00:00"/>
    <x v="2"/>
    <x v="414"/>
    <x v="9"/>
  </r>
  <r>
    <n v="10673"/>
    <x v="0"/>
    <s v="Fuller, Andrew"/>
    <x v="315"/>
    <d v="1997-09-19T00:00:00"/>
    <x v="1"/>
    <x v="415"/>
    <x v="10"/>
  </r>
  <r>
    <n v="10674"/>
    <x v="41"/>
    <s v="Peacock, Margaret"/>
    <x v="315"/>
    <d v="1997-09-30T00:00:00"/>
    <x v="2"/>
    <x v="416"/>
    <x v="13"/>
  </r>
  <r>
    <n v="10675"/>
    <x v="17"/>
    <s v="Buchanan, Steven"/>
    <x v="316"/>
    <d v="1997-09-23T00:00:00"/>
    <x v="2"/>
    <x v="417"/>
    <x v="1"/>
  </r>
  <r>
    <n v="10676"/>
    <x v="24"/>
    <s v="Fuller, Andrew"/>
    <x v="317"/>
    <d v="1997-09-29T00:00:00"/>
    <x v="2"/>
    <x v="418"/>
    <x v="7"/>
  </r>
  <r>
    <n v="10677"/>
    <x v="58"/>
    <s v="Davolio, Nancy"/>
    <x v="317"/>
    <d v="1997-09-26T00:00:00"/>
    <x v="0"/>
    <x v="419"/>
    <x v="7"/>
  </r>
  <r>
    <n v="10678"/>
    <x v="44"/>
    <s v="King, Robert"/>
    <x v="318"/>
    <d v="1997-10-16T00:00:00"/>
    <x v="0"/>
    <x v="420"/>
    <x v="8"/>
  </r>
  <r>
    <n v="10679"/>
    <x v="15"/>
    <s v="Callahan, Laura"/>
    <x v="318"/>
    <d v="1997-09-30T00:00:00"/>
    <x v="0"/>
    <x v="281"/>
    <x v="0"/>
  </r>
  <r>
    <n v="10680"/>
    <x v="11"/>
    <s v="Davolio, Nancy"/>
    <x v="319"/>
    <d v="1997-09-26T00:00:00"/>
    <x v="1"/>
    <x v="421"/>
    <x v="8"/>
  </r>
  <r>
    <n v="10681"/>
    <x v="80"/>
    <s v="Leverling, Janet"/>
    <x v="320"/>
    <d v="1997-09-30T00:00:00"/>
    <x v="0"/>
    <x v="422"/>
    <x v="8"/>
  </r>
  <r>
    <n v="10682"/>
    <x v="58"/>
    <s v="Leverling, Janet"/>
    <x v="320"/>
    <d v="1997-10-01T00:00:00"/>
    <x v="2"/>
    <x v="423"/>
    <x v="7"/>
  </r>
  <r>
    <n v="10683"/>
    <x v="40"/>
    <s v="Fuller, Andrew"/>
    <x v="321"/>
    <d v="1997-10-01T00:00:00"/>
    <x v="1"/>
    <x v="424"/>
    <x v="0"/>
  </r>
  <r>
    <n v="10684"/>
    <x v="67"/>
    <s v="Leverling, Janet"/>
    <x v="321"/>
    <d v="1997-09-30T00:00:00"/>
    <x v="1"/>
    <x v="425"/>
    <x v="1"/>
  </r>
  <r>
    <n v="10685"/>
    <x v="71"/>
    <s v="Peacock, Margaret"/>
    <x v="322"/>
    <d v="1997-10-03T00:00:00"/>
    <x v="2"/>
    <x v="426"/>
    <x v="2"/>
  </r>
  <r>
    <n v="10686"/>
    <x v="53"/>
    <s v="Fuller, Andrew"/>
    <x v="323"/>
    <d v="1997-10-08T00:00:00"/>
    <x v="1"/>
    <x v="427"/>
    <x v="6"/>
  </r>
  <r>
    <n v="10687"/>
    <x v="34"/>
    <s v="Dodsworth, Anne"/>
    <x v="323"/>
    <d v="1997-10-30T00:00:00"/>
    <x v="2"/>
    <x v="428"/>
    <x v="14"/>
  </r>
  <r>
    <n v="10688"/>
    <x v="60"/>
    <s v="Peacock, Margaret"/>
    <x v="324"/>
    <d v="1997-10-07T00:00:00"/>
    <x v="2"/>
    <x v="429"/>
    <x v="17"/>
  </r>
  <r>
    <n v="10689"/>
    <x v="26"/>
    <s v="Davolio, Nancy"/>
    <x v="324"/>
    <d v="1997-10-07T00:00:00"/>
    <x v="2"/>
    <x v="430"/>
    <x v="9"/>
  </r>
  <r>
    <n v="10690"/>
    <x v="2"/>
    <s v="Davolio, Nancy"/>
    <x v="325"/>
    <d v="1997-10-03T00:00:00"/>
    <x v="1"/>
    <x v="431"/>
    <x v="2"/>
  </r>
  <r>
    <n v="10691"/>
    <x v="21"/>
    <s v="Fuller, Andrew"/>
    <x v="326"/>
    <d v="1997-10-22T00:00:00"/>
    <x v="2"/>
    <x v="432"/>
    <x v="1"/>
  </r>
  <r>
    <n v="10692"/>
    <x v="85"/>
    <s v="Peacock, Margaret"/>
    <x v="326"/>
    <d v="1997-10-13T00:00:00"/>
    <x v="2"/>
    <x v="433"/>
    <x v="1"/>
  </r>
  <r>
    <n v="10693"/>
    <x v="19"/>
    <s v="Leverling, Janet"/>
    <x v="327"/>
    <d v="1997-10-10T00:00:00"/>
    <x v="0"/>
    <x v="434"/>
    <x v="8"/>
  </r>
  <r>
    <n v="10694"/>
    <x v="21"/>
    <s v="Callahan, Laura"/>
    <x v="327"/>
    <d v="1997-10-09T00:00:00"/>
    <x v="0"/>
    <x v="435"/>
    <x v="1"/>
  </r>
  <r>
    <n v="10695"/>
    <x v="0"/>
    <s v="King, Robert"/>
    <x v="328"/>
    <d v="1997-10-14T00:00:00"/>
    <x v="1"/>
    <x v="436"/>
    <x v="10"/>
  </r>
  <r>
    <n v="10696"/>
    <x v="19"/>
    <s v="Callahan, Laura"/>
    <x v="329"/>
    <d v="1997-10-14T00:00:00"/>
    <x v="0"/>
    <x v="437"/>
    <x v="8"/>
  </r>
  <r>
    <n v="10697"/>
    <x v="66"/>
    <s v="Leverling, Janet"/>
    <x v="329"/>
    <d v="1997-10-14T00:00:00"/>
    <x v="1"/>
    <x v="438"/>
    <x v="5"/>
  </r>
  <r>
    <n v="10698"/>
    <x v="9"/>
    <s v="Peacock, Margaret"/>
    <x v="330"/>
    <d v="1997-10-17T00:00:00"/>
    <x v="1"/>
    <x v="439"/>
    <x v="6"/>
  </r>
  <r>
    <n v="10699"/>
    <x v="25"/>
    <s v="Leverling, Janet"/>
    <x v="330"/>
    <d v="1997-10-13T00:00:00"/>
    <x v="0"/>
    <x v="440"/>
    <x v="1"/>
  </r>
  <r>
    <n v="10700"/>
    <x v="44"/>
    <s v="Leverling, Janet"/>
    <x v="331"/>
    <d v="1997-10-16T00:00:00"/>
    <x v="1"/>
    <x v="441"/>
    <x v="8"/>
  </r>
  <r>
    <n v="10701"/>
    <x v="34"/>
    <s v="Suyama, Michael"/>
    <x v="332"/>
    <d v="1997-10-15T00:00:00"/>
    <x v="0"/>
    <x v="442"/>
    <x v="14"/>
  </r>
  <r>
    <n v="10702"/>
    <x v="85"/>
    <s v="Peacock, Margaret"/>
    <x v="332"/>
    <d v="1997-10-21T00:00:00"/>
    <x v="1"/>
    <x v="443"/>
    <x v="1"/>
  </r>
  <r>
    <n v="10703"/>
    <x v="14"/>
    <s v="Suyama, Michael"/>
    <x v="333"/>
    <d v="1997-10-20T00:00:00"/>
    <x v="2"/>
    <x v="444"/>
    <x v="9"/>
  </r>
  <r>
    <n v="10704"/>
    <x v="61"/>
    <s v="Suyama, Michael"/>
    <x v="333"/>
    <d v="1997-11-07T00:00:00"/>
    <x v="1"/>
    <x v="445"/>
    <x v="2"/>
  </r>
  <r>
    <n v="10705"/>
    <x v="8"/>
    <s v="Dodsworth, Anne"/>
    <x v="334"/>
    <d v="1997-11-18T00:00:00"/>
    <x v="2"/>
    <x v="446"/>
    <x v="5"/>
  </r>
  <r>
    <n v="10706"/>
    <x v="11"/>
    <s v="Callahan, Laura"/>
    <x v="335"/>
    <d v="1997-10-21T00:00:00"/>
    <x v="0"/>
    <x v="447"/>
    <x v="8"/>
  </r>
  <r>
    <n v="10707"/>
    <x v="54"/>
    <s v="Peacock, Margaret"/>
    <x v="335"/>
    <d v="1997-10-23T00:00:00"/>
    <x v="0"/>
    <x v="448"/>
    <x v="13"/>
  </r>
  <r>
    <n v="10708"/>
    <x v="39"/>
    <s v="Suyama, Michael"/>
    <x v="336"/>
    <d v="1997-11-05T00:00:00"/>
    <x v="2"/>
    <x v="449"/>
    <x v="8"/>
  </r>
  <r>
    <n v="10709"/>
    <x v="71"/>
    <s v="Davolio, Nancy"/>
    <x v="336"/>
    <d v="1997-11-20T00:00:00"/>
    <x v="0"/>
    <x v="450"/>
    <x v="2"/>
  </r>
  <r>
    <n v="10710"/>
    <x v="70"/>
    <s v="Davolio, Nancy"/>
    <x v="337"/>
    <d v="1997-10-23T00:00:00"/>
    <x v="1"/>
    <x v="451"/>
    <x v="11"/>
  </r>
  <r>
    <n v="10711"/>
    <x v="44"/>
    <s v="Buchanan, Steven"/>
    <x v="338"/>
    <d v="1997-10-29T00:00:00"/>
    <x v="2"/>
    <x v="452"/>
    <x v="8"/>
  </r>
  <r>
    <n v="10712"/>
    <x v="34"/>
    <s v="Leverling, Janet"/>
    <x v="338"/>
    <d v="1997-10-31T00:00:00"/>
    <x v="1"/>
    <x v="453"/>
    <x v="14"/>
  </r>
  <r>
    <n v="10713"/>
    <x v="44"/>
    <s v="Davolio, Nancy"/>
    <x v="339"/>
    <d v="1997-10-24T00:00:00"/>
    <x v="1"/>
    <x v="454"/>
    <x v="8"/>
  </r>
  <r>
    <n v="10714"/>
    <x v="44"/>
    <s v="Buchanan, Steven"/>
    <x v="339"/>
    <d v="1997-10-27T00:00:00"/>
    <x v="0"/>
    <x v="455"/>
    <x v="8"/>
  </r>
  <r>
    <n v="10715"/>
    <x v="47"/>
    <s v="Leverling, Janet"/>
    <x v="340"/>
    <d v="1997-10-29T00:00:00"/>
    <x v="1"/>
    <x v="456"/>
    <x v="0"/>
  </r>
  <r>
    <n v="10716"/>
    <x v="74"/>
    <s v="Peacock, Margaret"/>
    <x v="341"/>
    <d v="1997-10-27T00:00:00"/>
    <x v="2"/>
    <x v="457"/>
    <x v="20"/>
  </r>
  <r>
    <n v="10717"/>
    <x v="17"/>
    <s v="Davolio, Nancy"/>
    <x v="341"/>
    <d v="1997-10-29T00:00:00"/>
    <x v="2"/>
    <x v="458"/>
    <x v="1"/>
  </r>
  <r>
    <n v="10718"/>
    <x v="43"/>
    <s v="Davolio, Nancy"/>
    <x v="342"/>
    <d v="1997-10-29T00:00:00"/>
    <x v="0"/>
    <x v="459"/>
    <x v="1"/>
  </r>
  <r>
    <n v="10719"/>
    <x v="83"/>
    <s v="Callahan, Laura"/>
    <x v="342"/>
    <d v="1997-11-05T00:00:00"/>
    <x v="2"/>
    <x v="460"/>
    <x v="8"/>
  </r>
  <r>
    <n v="10720"/>
    <x v="12"/>
    <s v="Callahan, Laura"/>
    <x v="343"/>
    <d v="1997-11-05T00:00:00"/>
    <x v="2"/>
    <x v="461"/>
    <x v="2"/>
  </r>
  <r>
    <n v="10721"/>
    <x v="21"/>
    <s v="Buchanan, Steven"/>
    <x v="344"/>
    <d v="1997-10-31T00:00:00"/>
    <x v="0"/>
    <x v="462"/>
    <x v="1"/>
  </r>
  <r>
    <n v="10722"/>
    <x v="44"/>
    <s v="Callahan, Laura"/>
    <x v="344"/>
    <d v="1997-11-04T00:00:00"/>
    <x v="1"/>
    <x v="463"/>
    <x v="8"/>
  </r>
  <r>
    <n v="10723"/>
    <x v="19"/>
    <s v="Leverling, Janet"/>
    <x v="345"/>
    <d v="1997-11-25T00:00:00"/>
    <x v="1"/>
    <x v="464"/>
    <x v="8"/>
  </r>
  <r>
    <n v="10724"/>
    <x v="48"/>
    <s v="Callahan, Laura"/>
    <x v="345"/>
    <d v="1997-11-05T00:00:00"/>
    <x v="2"/>
    <x v="465"/>
    <x v="16"/>
  </r>
  <r>
    <n v="10725"/>
    <x v="51"/>
    <s v="Peacock, Margaret"/>
    <x v="346"/>
    <d v="1997-11-05T00:00:00"/>
    <x v="0"/>
    <x v="466"/>
    <x v="2"/>
  </r>
  <r>
    <n v="10726"/>
    <x v="57"/>
    <s v="Peacock, Margaret"/>
    <x v="347"/>
    <d v="1997-12-05T00:00:00"/>
    <x v="1"/>
    <x v="467"/>
    <x v="13"/>
  </r>
  <r>
    <n v="10727"/>
    <x v="31"/>
    <s v="Fuller, Andrew"/>
    <x v="347"/>
    <d v="1997-12-05T00:00:00"/>
    <x v="1"/>
    <x v="468"/>
    <x v="11"/>
  </r>
  <r>
    <n v="10728"/>
    <x v="61"/>
    <s v="Peacock, Margaret"/>
    <x v="348"/>
    <d v="1997-11-11T00:00:00"/>
    <x v="2"/>
    <x v="469"/>
    <x v="2"/>
  </r>
  <r>
    <n v="10729"/>
    <x v="66"/>
    <s v="Callahan, Laura"/>
    <x v="348"/>
    <d v="1997-11-14T00:00:00"/>
    <x v="0"/>
    <x v="470"/>
    <x v="5"/>
  </r>
  <r>
    <n v="10730"/>
    <x v="47"/>
    <s v="Buchanan, Steven"/>
    <x v="349"/>
    <d v="1997-11-14T00:00:00"/>
    <x v="1"/>
    <x v="126"/>
    <x v="0"/>
  </r>
  <r>
    <n v="10731"/>
    <x v="5"/>
    <s v="King, Robert"/>
    <x v="350"/>
    <d v="1997-11-14T00:00:00"/>
    <x v="1"/>
    <x v="471"/>
    <x v="4"/>
  </r>
  <r>
    <n v="10732"/>
    <x v="47"/>
    <s v="Leverling, Janet"/>
    <x v="350"/>
    <d v="1997-11-07T00:00:00"/>
    <x v="1"/>
    <x v="472"/>
    <x v="0"/>
  </r>
  <r>
    <n v="10733"/>
    <x v="26"/>
    <s v="Davolio, Nancy"/>
    <x v="351"/>
    <d v="1997-11-10T00:00:00"/>
    <x v="0"/>
    <x v="473"/>
    <x v="9"/>
  </r>
  <r>
    <n v="10734"/>
    <x v="71"/>
    <s v="Fuller, Andrew"/>
    <x v="351"/>
    <d v="1997-11-12T00:00:00"/>
    <x v="0"/>
    <x v="474"/>
    <x v="2"/>
  </r>
  <r>
    <n v="10735"/>
    <x v="83"/>
    <s v="Suyama, Michael"/>
    <x v="352"/>
    <d v="1997-11-21T00:00:00"/>
    <x v="2"/>
    <x v="475"/>
    <x v="8"/>
  </r>
  <r>
    <n v="10736"/>
    <x v="34"/>
    <s v="Dodsworth, Anne"/>
    <x v="353"/>
    <d v="1997-11-21T00:00:00"/>
    <x v="2"/>
    <x v="476"/>
    <x v="14"/>
  </r>
  <r>
    <n v="10737"/>
    <x v="22"/>
    <s v="Fuller, Andrew"/>
    <x v="353"/>
    <d v="1997-11-18T00:00:00"/>
    <x v="2"/>
    <x v="477"/>
    <x v="0"/>
  </r>
  <r>
    <n v="10738"/>
    <x v="87"/>
    <s v="Fuller, Andrew"/>
    <x v="354"/>
    <d v="1997-11-18T00:00:00"/>
    <x v="1"/>
    <x v="478"/>
    <x v="0"/>
  </r>
  <r>
    <n v="10739"/>
    <x v="22"/>
    <s v="Leverling, Janet"/>
    <x v="354"/>
    <d v="1997-11-17T00:00:00"/>
    <x v="0"/>
    <x v="479"/>
    <x v="0"/>
  </r>
  <r>
    <n v="10740"/>
    <x v="19"/>
    <s v="Peacock, Margaret"/>
    <x v="355"/>
    <d v="1997-11-25T00:00:00"/>
    <x v="2"/>
    <x v="480"/>
    <x v="8"/>
  </r>
  <r>
    <n v="10741"/>
    <x v="54"/>
    <s v="Peacock, Margaret"/>
    <x v="356"/>
    <d v="1997-11-18T00:00:00"/>
    <x v="0"/>
    <x v="481"/>
    <x v="13"/>
  </r>
  <r>
    <n v="10742"/>
    <x v="65"/>
    <s v="Leverling, Janet"/>
    <x v="356"/>
    <d v="1997-11-18T00:00:00"/>
    <x v="0"/>
    <x v="482"/>
    <x v="16"/>
  </r>
  <r>
    <n v="10743"/>
    <x v="54"/>
    <s v="Davolio, Nancy"/>
    <x v="357"/>
    <d v="1997-11-21T00:00:00"/>
    <x v="2"/>
    <x v="483"/>
    <x v="13"/>
  </r>
  <r>
    <n v="10744"/>
    <x v="60"/>
    <s v="Suyama, Michael"/>
    <x v="357"/>
    <d v="1997-11-24T00:00:00"/>
    <x v="1"/>
    <x v="484"/>
    <x v="17"/>
  </r>
  <r>
    <n v="10745"/>
    <x v="21"/>
    <s v="Dodsworth, Anne"/>
    <x v="358"/>
    <d v="1997-11-27T00:00:00"/>
    <x v="1"/>
    <x v="446"/>
    <x v="1"/>
  </r>
  <r>
    <n v="10746"/>
    <x v="5"/>
    <s v="Davolio, Nancy"/>
    <x v="359"/>
    <d v="1997-11-21T00:00:00"/>
    <x v="0"/>
    <x v="485"/>
    <x v="4"/>
  </r>
  <r>
    <n v="10747"/>
    <x v="53"/>
    <s v="Suyama, Michael"/>
    <x v="359"/>
    <d v="1997-11-26T00:00:00"/>
    <x v="1"/>
    <x v="486"/>
    <x v="6"/>
  </r>
  <r>
    <n v="10748"/>
    <x v="44"/>
    <s v="Leverling, Janet"/>
    <x v="360"/>
    <d v="1997-11-28T00:00:00"/>
    <x v="1"/>
    <x v="487"/>
    <x v="8"/>
  </r>
  <r>
    <n v="10749"/>
    <x v="41"/>
    <s v="Peacock, Margaret"/>
    <x v="360"/>
    <d v="1997-12-19T00:00:00"/>
    <x v="2"/>
    <x v="488"/>
    <x v="13"/>
  </r>
  <r>
    <n v="10750"/>
    <x v="16"/>
    <s v="Dodsworth, Anne"/>
    <x v="361"/>
    <d v="1997-11-24T00:00:00"/>
    <x v="1"/>
    <x v="489"/>
    <x v="10"/>
  </r>
  <r>
    <n v="10751"/>
    <x v="6"/>
    <s v="Leverling, Janet"/>
    <x v="362"/>
    <d v="1997-12-03T00:00:00"/>
    <x v="0"/>
    <x v="490"/>
    <x v="4"/>
  </r>
  <r>
    <n v="10752"/>
    <x v="78"/>
    <s v="Fuller, Andrew"/>
    <x v="362"/>
    <d v="1997-11-28T00:00:00"/>
    <x v="0"/>
    <x v="491"/>
    <x v="13"/>
  </r>
  <r>
    <n v="10753"/>
    <x v="70"/>
    <s v="Leverling, Janet"/>
    <x v="363"/>
    <d v="1997-11-27T00:00:00"/>
    <x v="1"/>
    <x v="492"/>
    <x v="11"/>
  </r>
  <r>
    <n v="10754"/>
    <x v="23"/>
    <s v="Suyama, Michael"/>
    <x v="363"/>
    <d v="1997-11-27T00:00:00"/>
    <x v="0"/>
    <x v="493"/>
    <x v="11"/>
  </r>
  <r>
    <n v="10755"/>
    <x v="47"/>
    <s v="Peacock, Margaret"/>
    <x v="364"/>
    <d v="1997-11-28T00:00:00"/>
    <x v="2"/>
    <x v="494"/>
    <x v="0"/>
  </r>
  <r>
    <n v="10756"/>
    <x v="20"/>
    <s v="Callahan, Laura"/>
    <x v="365"/>
    <d v="1997-12-02T00:00:00"/>
    <x v="2"/>
    <x v="495"/>
    <x v="8"/>
  </r>
  <r>
    <n v="10757"/>
    <x v="44"/>
    <s v="Suyama, Michael"/>
    <x v="365"/>
    <d v="1997-12-15T00:00:00"/>
    <x v="1"/>
    <x v="496"/>
    <x v="8"/>
  </r>
  <r>
    <n v="10758"/>
    <x v="6"/>
    <s v="Leverling, Janet"/>
    <x v="366"/>
    <d v="1997-12-04T00:00:00"/>
    <x v="0"/>
    <x v="497"/>
    <x v="4"/>
  </r>
  <r>
    <n v="10759"/>
    <x v="38"/>
    <s v="Leverling, Janet"/>
    <x v="366"/>
    <d v="1997-12-12T00:00:00"/>
    <x v="0"/>
    <x v="498"/>
    <x v="7"/>
  </r>
  <r>
    <n v="10760"/>
    <x v="81"/>
    <s v="Peacock, Margaret"/>
    <x v="367"/>
    <d v="1997-12-10T00:00:00"/>
    <x v="1"/>
    <x v="499"/>
    <x v="3"/>
  </r>
  <r>
    <n v="10761"/>
    <x v="13"/>
    <s v="Buchanan, Steven"/>
    <x v="368"/>
    <d v="1997-12-08T00:00:00"/>
    <x v="2"/>
    <x v="500"/>
    <x v="8"/>
  </r>
  <r>
    <n v="10762"/>
    <x v="14"/>
    <s v="Leverling, Janet"/>
    <x v="368"/>
    <d v="1997-12-09T00:00:00"/>
    <x v="1"/>
    <x v="501"/>
    <x v="9"/>
  </r>
  <r>
    <n v="10763"/>
    <x v="68"/>
    <s v="Leverling, Janet"/>
    <x v="369"/>
    <d v="1997-12-08T00:00:00"/>
    <x v="0"/>
    <x v="502"/>
    <x v="0"/>
  </r>
  <r>
    <n v="10764"/>
    <x v="9"/>
    <s v="Suyama, Michael"/>
    <x v="369"/>
    <d v="1997-12-08T00:00:00"/>
    <x v="0"/>
    <x v="503"/>
    <x v="6"/>
  </r>
  <r>
    <n v="10765"/>
    <x v="21"/>
    <s v="Leverling, Janet"/>
    <x v="370"/>
    <d v="1997-12-09T00:00:00"/>
    <x v="0"/>
    <x v="504"/>
    <x v="1"/>
  </r>
  <r>
    <n v="10766"/>
    <x v="67"/>
    <s v="Peacock, Margaret"/>
    <x v="371"/>
    <d v="1997-12-09T00:00:00"/>
    <x v="1"/>
    <x v="505"/>
    <x v="1"/>
  </r>
  <r>
    <n v="10767"/>
    <x v="4"/>
    <s v="Peacock, Margaret"/>
    <x v="371"/>
    <d v="1997-12-15T00:00:00"/>
    <x v="0"/>
    <x v="506"/>
    <x v="3"/>
  </r>
  <r>
    <n v="10768"/>
    <x v="54"/>
    <s v="Leverling, Janet"/>
    <x v="372"/>
    <d v="1997-12-15T00:00:00"/>
    <x v="2"/>
    <x v="507"/>
    <x v="13"/>
  </r>
  <r>
    <n v="10769"/>
    <x v="60"/>
    <s v="Leverling, Janet"/>
    <x v="372"/>
    <d v="1997-12-12T00:00:00"/>
    <x v="1"/>
    <x v="508"/>
    <x v="17"/>
  </r>
  <r>
    <n v="10770"/>
    <x v="2"/>
    <s v="Callahan, Laura"/>
    <x v="373"/>
    <d v="1997-12-17T00:00:00"/>
    <x v="0"/>
    <x v="509"/>
    <x v="2"/>
  </r>
  <r>
    <n v="10771"/>
    <x v="9"/>
    <s v="Dodsworth, Anne"/>
    <x v="374"/>
    <d v="1998-01-02T00:00:00"/>
    <x v="2"/>
    <x v="510"/>
    <x v="6"/>
  </r>
  <r>
    <n v="10772"/>
    <x v="27"/>
    <s v="Leverling, Janet"/>
    <x v="374"/>
    <d v="1997-12-19T00:00:00"/>
    <x v="2"/>
    <x v="511"/>
    <x v="1"/>
  </r>
  <r>
    <n v="10773"/>
    <x v="9"/>
    <s v="Davolio, Nancy"/>
    <x v="375"/>
    <d v="1997-12-16T00:00:00"/>
    <x v="0"/>
    <x v="512"/>
    <x v="6"/>
  </r>
  <r>
    <n v="10774"/>
    <x v="14"/>
    <s v="Peacock, Margaret"/>
    <x v="375"/>
    <d v="1997-12-12T00:00:00"/>
    <x v="1"/>
    <x v="513"/>
    <x v="9"/>
  </r>
  <r>
    <n v="10775"/>
    <x v="84"/>
    <s v="King, Robert"/>
    <x v="376"/>
    <d v="1997-12-26T00:00:00"/>
    <x v="1"/>
    <x v="514"/>
    <x v="8"/>
  </r>
  <r>
    <n v="10776"/>
    <x v="9"/>
    <s v="Davolio, Nancy"/>
    <x v="377"/>
    <d v="1997-12-18T00:00:00"/>
    <x v="0"/>
    <x v="515"/>
    <x v="6"/>
  </r>
  <r>
    <n v="10777"/>
    <x v="71"/>
    <s v="King, Robert"/>
    <x v="377"/>
    <d v="1998-01-21T00:00:00"/>
    <x v="2"/>
    <x v="328"/>
    <x v="2"/>
  </r>
  <r>
    <n v="10778"/>
    <x v="26"/>
    <s v="Leverling, Janet"/>
    <x v="378"/>
    <d v="1997-12-24T00:00:00"/>
    <x v="1"/>
    <x v="516"/>
    <x v="9"/>
  </r>
  <r>
    <n v="10779"/>
    <x v="25"/>
    <s v="Leverling, Janet"/>
    <x v="378"/>
    <d v="1998-01-14T00:00:00"/>
    <x v="2"/>
    <x v="517"/>
    <x v="1"/>
  </r>
  <r>
    <n v="10780"/>
    <x v="29"/>
    <s v="Fuller, Andrew"/>
    <x v="378"/>
    <d v="1997-12-25T00:00:00"/>
    <x v="1"/>
    <x v="518"/>
    <x v="5"/>
  </r>
  <r>
    <n v="10781"/>
    <x v="16"/>
    <s v="Fuller, Andrew"/>
    <x v="379"/>
    <d v="1997-12-19T00:00:00"/>
    <x v="0"/>
    <x v="519"/>
    <x v="10"/>
  </r>
  <r>
    <n v="10782"/>
    <x v="79"/>
    <s v="Dodsworth, Anne"/>
    <x v="379"/>
    <d v="1997-12-22T00:00:00"/>
    <x v="0"/>
    <x v="520"/>
    <x v="20"/>
  </r>
  <r>
    <n v="10783"/>
    <x v="2"/>
    <s v="Peacock, Margaret"/>
    <x v="380"/>
    <d v="1997-12-19T00:00:00"/>
    <x v="2"/>
    <x v="521"/>
    <x v="2"/>
  </r>
  <r>
    <n v="10784"/>
    <x v="23"/>
    <s v="Peacock, Margaret"/>
    <x v="380"/>
    <d v="1997-12-22T00:00:00"/>
    <x v="0"/>
    <x v="522"/>
    <x v="11"/>
  </r>
  <r>
    <n v="10785"/>
    <x v="18"/>
    <s v="Davolio, Nancy"/>
    <x v="380"/>
    <d v="1997-12-24T00:00:00"/>
    <x v="0"/>
    <x v="523"/>
    <x v="5"/>
  </r>
  <r>
    <n v="10786"/>
    <x v="61"/>
    <s v="Callahan, Laura"/>
    <x v="381"/>
    <d v="1997-12-23T00:00:00"/>
    <x v="1"/>
    <x v="524"/>
    <x v="2"/>
  </r>
  <r>
    <n v="10787"/>
    <x v="52"/>
    <s v="Fuller, Andrew"/>
    <x v="381"/>
    <d v="1997-12-26T00:00:00"/>
    <x v="1"/>
    <x v="525"/>
    <x v="0"/>
  </r>
  <r>
    <n v="10788"/>
    <x v="21"/>
    <s v="Davolio, Nancy"/>
    <x v="382"/>
    <d v="1998-01-19T00:00:00"/>
    <x v="2"/>
    <x v="526"/>
    <x v="1"/>
  </r>
  <r>
    <n v="10789"/>
    <x v="68"/>
    <s v="Davolio, Nancy"/>
    <x v="382"/>
    <d v="1997-12-31T00:00:00"/>
    <x v="2"/>
    <x v="527"/>
    <x v="0"/>
  </r>
  <r>
    <n v="10790"/>
    <x v="71"/>
    <s v="Suyama, Michael"/>
    <x v="382"/>
    <d v="1997-12-26T00:00:00"/>
    <x v="1"/>
    <x v="528"/>
    <x v="2"/>
  </r>
  <r>
    <n v="10791"/>
    <x v="17"/>
    <s v="Suyama, Michael"/>
    <x v="383"/>
    <d v="1998-01-01T00:00:00"/>
    <x v="2"/>
    <x v="529"/>
    <x v="1"/>
  </r>
  <r>
    <n v="10792"/>
    <x v="62"/>
    <s v="Davolio, Nancy"/>
    <x v="383"/>
    <d v="1997-12-31T00:00:00"/>
    <x v="0"/>
    <x v="530"/>
    <x v="18"/>
  </r>
  <r>
    <n v="10793"/>
    <x v="54"/>
    <s v="Leverling, Janet"/>
    <x v="384"/>
    <d v="1998-01-08T00:00:00"/>
    <x v="0"/>
    <x v="531"/>
    <x v="13"/>
  </r>
  <r>
    <n v="10794"/>
    <x v="12"/>
    <s v="Suyama, Michael"/>
    <x v="384"/>
    <d v="1998-01-02T00:00:00"/>
    <x v="1"/>
    <x v="532"/>
    <x v="2"/>
  </r>
  <r>
    <n v="10795"/>
    <x v="9"/>
    <s v="Callahan, Laura"/>
    <x v="384"/>
    <d v="1998-01-20T00:00:00"/>
    <x v="2"/>
    <x v="533"/>
    <x v="6"/>
  </r>
  <r>
    <n v="10796"/>
    <x v="8"/>
    <s v="Leverling, Janet"/>
    <x v="385"/>
    <d v="1998-01-14T00:00:00"/>
    <x v="1"/>
    <x v="534"/>
    <x v="5"/>
  </r>
  <r>
    <n v="10797"/>
    <x v="56"/>
    <s v="King, Robert"/>
    <x v="385"/>
    <d v="1998-01-05T00:00:00"/>
    <x v="2"/>
    <x v="535"/>
    <x v="1"/>
  </r>
  <r>
    <n v="10798"/>
    <x v="41"/>
    <s v="Fuller, Andrew"/>
    <x v="386"/>
    <d v="1998-01-05T00:00:00"/>
    <x v="1"/>
    <x v="536"/>
    <x v="13"/>
  </r>
  <r>
    <n v="10799"/>
    <x v="43"/>
    <s v="Dodsworth, Anne"/>
    <x v="386"/>
    <d v="1998-01-05T00:00:00"/>
    <x v="0"/>
    <x v="537"/>
    <x v="1"/>
  </r>
  <r>
    <n v="10800"/>
    <x v="55"/>
    <s v="Davolio, Nancy"/>
    <x v="386"/>
    <d v="1998-01-05T00:00:00"/>
    <x v="0"/>
    <x v="538"/>
    <x v="13"/>
  </r>
  <r>
    <n v="10801"/>
    <x v="45"/>
    <s v="Peacock, Margaret"/>
    <x v="387"/>
    <d v="1997-12-31T00:00:00"/>
    <x v="2"/>
    <x v="539"/>
    <x v="12"/>
  </r>
  <r>
    <n v="10802"/>
    <x v="50"/>
    <s v="Peacock, Margaret"/>
    <x v="387"/>
    <d v="1998-01-02T00:00:00"/>
    <x v="2"/>
    <x v="540"/>
    <x v="17"/>
  </r>
  <r>
    <n v="10803"/>
    <x v="7"/>
    <s v="Peacock, Margaret"/>
    <x v="388"/>
    <d v="1998-01-06T00:00:00"/>
    <x v="1"/>
    <x v="541"/>
    <x v="2"/>
  </r>
  <r>
    <n v="10804"/>
    <x v="55"/>
    <s v="Suyama, Michael"/>
    <x v="388"/>
    <d v="1998-01-07T00:00:00"/>
    <x v="2"/>
    <x v="542"/>
    <x v="13"/>
  </r>
  <r>
    <n v="10805"/>
    <x v="39"/>
    <s v="Fuller, Andrew"/>
    <x v="388"/>
    <d v="1998-01-09T00:00:00"/>
    <x v="0"/>
    <x v="543"/>
    <x v="8"/>
  </r>
  <r>
    <n v="10806"/>
    <x v="3"/>
    <s v="Leverling, Janet"/>
    <x v="389"/>
    <d v="1998-01-05T00:00:00"/>
    <x v="2"/>
    <x v="544"/>
    <x v="0"/>
  </r>
  <r>
    <n v="10807"/>
    <x v="70"/>
    <s v="Peacock, Margaret"/>
    <x v="389"/>
    <d v="1998-01-30T00:00:00"/>
    <x v="1"/>
    <x v="545"/>
    <x v="11"/>
  </r>
  <r>
    <n v="10808"/>
    <x v="49"/>
    <s v="Fuller, Andrew"/>
    <x v="390"/>
    <d v="1998-01-09T00:00:00"/>
    <x v="0"/>
    <x v="546"/>
    <x v="8"/>
  </r>
  <r>
    <n v="10809"/>
    <x v="7"/>
    <s v="King, Robert"/>
    <x v="390"/>
    <d v="1998-01-07T00:00:00"/>
    <x v="1"/>
    <x v="285"/>
    <x v="2"/>
  </r>
  <r>
    <n v="10810"/>
    <x v="76"/>
    <s v="Fuller, Andrew"/>
    <x v="390"/>
    <d v="1998-01-07T00:00:00"/>
    <x v="0"/>
    <x v="547"/>
    <x v="16"/>
  </r>
  <r>
    <n v="10811"/>
    <x v="66"/>
    <s v="Callahan, Laura"/>
    <x v="391"/>
    <d v="1998-01-08T00:00:00"/>
    <x v="1"/>
    <x v="548"/>
    <x v="5"/>
  </r>
  <r>
    <n v="10812"/>
    <x v="31"/>
    <s v="Buchanan, Steven"/>
    <x v="391"/>
    <d v="1998-01-12T00:00:00"/>
    <x v="1"/>
    <x v="549"/>
    <x v="11"/>
  </r>
  <r>
    <n v="10813"/>
    <x v="30"/>
    <s v="Davolio, Nancy"/>
    <x v="392"/>
    <d v="1998-01-09T00:00:00"/>
    <x v="1"/>
    <x v="550"/>
    <x v="2"/>
  </r>
  <r>
    <n v="10814"/>
    <x v="3"/>
    <s v="Leverling, Janet"/>
    <x v="392"/>
    <d v="1998-01-14T00:00:00"/>
    <x v="0"/>
    <x v="551"/>
    <x v="0"/>
  </r>
  <r>
    <n v="10815"/>
    <x v="44"/>
    <s v="Fuller, Andrew"/>
    <x v="392"/>
    <d v="1998-01-14T00:00:00"/>
    <x v="0"/>
    <x v="552"/>
    <x v="8"/>
  </r>
  <r>
    <n v="10816"/>
    <x v="80"/>
    <s v="Peacock, Margaret"/>
    <x v="393"/>
    <d v="1998-02-04T00:00:00"/>
    <x v="2"/>
    <x v="553"/>
    <x v="8"/>
  </r>
  <r>
    <n v="10817"/>
    <x v="43"/>
    <s v="Leverling, Janet"/>
    <x v="393"/>
    <d v="1998-01-13T00:00:00"/>
    <x v="2"/>
    <x v="554"/>
    <x v="1"/>
  </r>
  <r>
    <n v="10818"/>
    <x v="23"/>
    <s v="King, Robert"/>
    <x v="394"/>
    <d v="1998-01-12T00:00:00"/>
    <x v="0"/>
    <x v="555"/>
    <x v="11"/>
  </r>
  <r>
    <n v="10819"/>
    <x v="79"/>
    <s v="Fuller, Andrew"/>
    <x v="394"/>
    <d v="1998-01-16T00:00:00"/>
    <x v="0"/>
    <x v="556"/>
    <x v="20"/>
  </r>
  <r>
    <n v="10820"/>
    <x v="13"/>
    <s v="Leverling, Janet"/>
    <x v="394"/>
    <d v="1998-01-13T00:00:00"/>
    <x v="2"/>
    <x v="557"/>
    <x v="8"/>
  </r>
  <r>
    <n v="10821"/>
    <x v="20"/>
    <s v="Davolio, Nancy"/>
    <x v="395"/>
    <d v="1998-01-15T00:00:00"/>
    <x v="1"/>
    <x v="558"/>
    <x v="8"/>
  </r>
  <r>
    <n v="10822"/>
    <x v="82"/>
    <s v="Suyama, Michael"/>
    <x v="395"/>
    <d v="1998-01-16T00:00:00"/>
    <x v="0"/>
    <x v="559"/>
    <x v="8"/>
  </r>
  <r>
    <n v="10823"/>
    <x v="29"/>
    <s v="Buchanan, Steven"/>
    <x v="396"/>
    <d v="1998-01-13T00:00:00"/>
    <x v="2"/>
    <x v="560"/>
    <x v="5"/>
  </r>
  <r>
    <n v="10824"/>
    <x v="14"/>
    <s v="Callahan, Laura"/>
    <x v="396"/>
    <d v="1998-01-30T00:00:00"/>
    <x v="1"/>
    <x v="561"/>
    <x v="9"/>
  </r>
  <r>
    <n v="10825"/>
    <x v="56"/>
    <s v="Davolio, Nancy"/>
    <x v="396"/>
    <d v="1998-01-14T00:00:00"/>
    <x v="1"/>
    <x v="562"/>
    <x v="1"/>
  </r>
  <r>
    <n v="10826"/>
    <x v="15"/>
    <s v="Suyama, Michael"/>
    <x v="397"/>
    <d v="1998-02-06T00:00:00"/>
    <x v="1"/>
    <x v="563"/>
    <x v="0"/>
  </r>
  <r>
    <n v="10827"/>
    <x v="47"/>
    <s v="Davolio, Nancy"/>
    <x v="397"/>
    <d v="1998-02-06T00:00:00"/>
    <x v="2"/>
    <x v="564"/>
    <x v="0"/>
  </r>
  <r>
    <n v="10828"/>
    <x v="74"/>
    <s v="Dodsworth, Anne"/>
    <x v="398"/>
    <d v="1998-02-04T00:00:00"/>
    <x v="1"/>
    <x v="565"/>
    <x v="20"/>
  </r>
  <r>
    <n v="10829"/>
    <x v="41"/>
    <s v="Dodsworth, Anne"/>
    <x v="398"/>
    <d v="1998-01-23T00:00:00"/>
    <x v="1"/>
    <x v="566"/>
    <x v="13"/>
  </r>
  <r>
    <n v="10830"/>
    <x v="1"/>
    <s v="Peacock, Margaret"/>
    <x v="398"/>
    <d v="1998-01-21T00:00:00"/>
    <x v="2"/>
    <x v="567"/>
    <x v="2"/>
  </r>
  <r>
    <n v="10831"/>
    <x v="64"/>
    <s v="Leverling, Janet"/>
    <x v="399"/>
    <d v="1998-01-23T00:00:00"/>
    <x v="2"/>
    <x v="568"/>
    <x v="19"/>
  </r>
  <r>
    <n v="10832"/>
    <x v="52"/>
    <s v="Fuller, Andrew"/>
    <x v="399"/>
    <d v="1998-01-19T00:00:00"/>
    <x v="2"/>
    <x v="569"/>
    <x v="0"/>
  </r>
  <r>
    <n v="10833"/>
    <x v="67"/>
    <s v="Suyama, Michael"/>
    <x v="400"/>
    <d v="1998-01-23T00:00:00"/>
    <x v="2"/>
    <x v="570"/>
    <x v="1"/>
  </r>
  <r>
    <n v="10834"/>
    <x v="1"/>
    <s v="Davolio, Nancy"/>
    <x v="400"/>
    <d v="1998-01-19T00:00:00"/>
    <x v="0"/>
    <x v="571"/>
    <x v="2"/>
  </r>
  <r>
    <n v="10835"/>
    <x v="85"/>
    <s v="Davolio, Nancy"/>
    <x v="400"/>
    <d v="1998-01-21T00:00:00"/>
    <x v="0"/>
    <x v="572"/>
    <x v="1"/>
  </r>
  <r>
    <n v="10836"/>
    <x v="9"/>
    <s v="King, Robert"/>
    <x v="401"/>
    <d v="1998-01-21T00:00:00"/>
    <x v="1"/>
    <x v="573"/>
    <x v="6"/>
  </r>
  <r>
    <n v="10837"/>
    <x v="26"/>
    <s v="Dodsworth, Anne"/>
    <x v="401"/>
    <d v="1998-01-23T00:00:00"/>
    <x v="0"/>
    <x v="574"/>
    <x v="9"/>
  </r>
  <r>
    <n v="10838"/>
    <x v="66"/>
    <s v="Leverling, Janet"/>
    <x v="402"/>
    <d v="1998-01-23T00:00:00"/>
    <x v="0"/>
    <x v="575"/>
    <x v="5"/>
  </r>
  <r>
    <n v="10839"/>
    <x v="1"/>
    <s v="Leverling, Janet"/>
    <x v="402"/>
    <d v="1998-01-22T00:00:00"/>
    <x v="0"/>
    <x v="576"/>
    <x v="2"/>
  </r>
  <r>
    <n v="10840"/>
    <x v="66"/>
    <s v="Peacock, Margaret"/>
    <x v="402"/>
    <d v="1998-02-16T00:00:00"/>
    <x v="2"/>
    <x v="577"/>
    <x v="5"/>
  </r>
  <r>
    <n v="10841"/>
    <x v="4"/>
    <s v="Buchanan, Steven"/>
    <x v="403"/>
    <d v="1998-01-29T00:00:00"/>
    <x v="2"/>
    <x v="578"/>
    <x v="3"/>
  </r>
  <r>
    <n v="10842"/>
    <x v="24"/>
    <s v="Davolio, Nancy"/>
    <x v="403"/>
    <d v="1998-01-29T00:00:00"/>
    <x v="0"/>
    <x v="579"/>
    <x v="7"/>
  </r>
  <r>
    <n v="10843"/>
    <x v="3"/>
    <s v="Peacock, Margaret"/>
    <x v="404"/>
    <d v="1998-01-26T00:00:00"/>
    <x v="2"/>
    <x v="580"/>
    <x v="0"/>
  </r>
  <r>
    <n v="10844"/>
    <x v="53"/>
    <s v="Callahan, Laura"/>
    <x v="404"/>
    <d v="1998-01-26T00:00:00"/>
    <x v="2"/>
    <x v="581"/>
    <x v="6"/>
  </r>
  <r>
    <n v="10845"/>
    <x v="21"/>
    <s v="Callahan, Laura"/>
    <x v="404"/>
    <d v="1998-01-30T00:00:00"/>
    <x v="1"/>
    <x v="582"/>
    <x v="1"/>
  </r>
  <r>
    <n v="10846"/>
    <x v="4"/>
    <s v="Fuller, Andrew"/>
    <x v="405"/>
    <d v="1998-01-23T00:00:00"/>
    <x v="0"/>
    <x v="583"/>
    <x v="3"/>
  </r>
  <r>
    <n v="10847"/>
    <x v="44"/>
    <s v="Peacock, Margaret"/>
    <x v="405"/>
    <d v="1998-02-10T00:00:00"/>
    <x v="0"/>
    <x v="584"/>
    <x v="8"/>
  </r>
  <r>
    <n v="10848"/>
    <x v="72"/>
    <s v="King, Robert"/>
    <x v="406"/>
    <d v="1998-01-29T00:00:00"/>
    <x v="2"/>
    <x v="585"/>
    <x v="13"/>
  </r>
  <r>
    <n v="10849"/>
    <x v="43"/>
    <s v="Dodsworth, Anne"/>
    <x v="406"/>
    <d v="1998-01-30T00:00:00"/>
    <x v="2"/>
    <x v="59"/>
    <x v="1"/>
  </r>
  <r>
    <n v="10850"/>
    <x v="3"/>
    <s v="Davolio, Nancy"/>
    <x v="406"/>
    <d v="1998-01-30T00:00:00"/>
    <x v="1"/>
    <x v="586"/>
    <x v="0"/>
  </r>
  <r>
    <n v="10851"/>
    <x v="30"/>
    <s v="Buchanan, Steven"/>
    <x v="407"/>
    <d v="1998-02-02T00:00:00"/>
    <x v="1"/>
    <x v="587"/>
    <x v="2"/>
  </r>
  <r>
    <n v="10852"/>
    <x v="13"/>
    <s v="Callahan, Laura"/>
    <x v="407"/>
    <d v="1998-01-30T00:00:00"/>
    <x v="1"/>
    <x v="588"/>
    <x v="8"/>
  </r>
  <r>
    <n v="10853"/>
    <x v="77"/>
    <s v="Dodsworth, Anne"/>
    <x v="408"/>
    <d v="1998-02-03T00:00:00"/>
    <x v="2"/>
    <x v="589"/>
    <x v="1"/>
  </r>
  <r>
    <n v="10854"/>
    <x v="9"/>
    <s v="Leverling, Janet"/>
    <x v="408"/>
    <d v="1998-02-05T00:00:00"/>
    <x v="2"/>
    <x v="590"/>
    <x v="6"/>
  </r>
  <r>
    <n v="10855"/>
    <x v="11"/>
    <s v="Leverling, Janet"/>
    <x v="408"/>
    <d v="1998-02-04T00:00:00"/>
    <x v="1"/>
    <x v="591"/>
    <x v="8"/>
  </r>
  <r>
    <n v="10856"/>
    <x v="58"/>
    <s v="Leverling, Janet"/>
    <x v="409"/>
    <d v="1998-02-10T00:00:00"/>
    <x v="2"/>
    <x v="592"/>
    <x v="7"/>
  </r>
  <r>
    <n v="10857"/>
    <x v="26"/>
    <s v="Callahan, Laura"/>
    <x v="409"/>
    <d v="1998-02-06T00:00:00"/>
    <x v="2"/>
    <x v="593"/>
    <x v="9"/>
  </r>
  <r>
    <n v="10858"/>
    <x v="88"/>
    <s v="Fuller, Andrew"/>
    <x v="410"/>
    <d v="1998-02-03T00:00:00"/>
    <x v="1"/>
    <x v="594"/>
    <x v="0"/>
  </r>
  <r>
    <n v="10859"/>
    <x v="17"/>
    <s v="Davolio, Nancy"/>
    <x v="410"/>
    <d v="1998-02-02T00:00:00"/>
    <x v="2"/>
    <x v="595"/>
    <x v="1"/>
  </r>
  <r>
    <n v="10860"/>
    <x v="86"/>
    <s v="Leverling, Janet"/>
    <x v="410"/>
    <d v="1998-02-04T00:00:00"/>
    <x v="0"/>
    <x v="596"/>
    <x v="0"/>
  </r>
  <r>
    <n v="10861"/>
    <x v="19"/>
    <s v="Peacock, Margaret"/>
    <x v="411"/>
    <d v="1998-02-17T00:00:00"/>
    <x v="2"/>
    <x v="597"/>
    <x v="8"/>
  </r>
  <r>
    <n v="10862"/>
    <x v="27"/>
    <s v="Callahan, Laura"/>
    <x v="411"/>
    <d v="1998-02-02T00:00:00"/>
    <x v="2"/>
    <x v="598"/>
    <x v="1"/>
  </r>
  <r>
    <n v="10863"/>
    <x v="8"/>
    <s v="Peacock, Margaret"/>
    <x v="412"/>
    <d v="1998-02-17T00:00:00"/>
    <x v="2"/>
    <x v="599"/>
    <x v="5"/>
  </r>
  <r>
    <n v="10864"/>
    <x v="54"/>
    <s v="Peacock, Margaret"/>
    <x v="412"/>
    <d v="1998-02-09T00:00:00"/>
    <x v="2"/>
    <x v="600"/>
    <x v="13"/>
  </r>
  <r>
    <n v="10865"/>
    <x v="21"/>
    <s v="Fuller, Andrew"/>
    <x v="412"/>
    <d v="1998-02-12T00:00:00"/>
    <x v="1"/>
    <x v="601"/>
    <x v="1"/>
  </r>
  <r>
    <n v="10866"/>
    <x v="26"/>
    <s v="Buchanan, Steven"/>
    <x v="413"/>
    <d v="1998-02-12T00:00:00"/>
    <x v="1"/>
    <x v="602"/>
    <x v="9"/>
  </r>
  <r>
    <n v="10867"/>
    <x v="37"/>
    <s v="Suyama, Michael"/>
    <x v="413"/>
    <d v="1998-02-11T00:00:00"/>
    <x v="1"/>
    <x v="360"/>
    <x v="8"/>
  </r>
  <r>
    <n v="10868"/>
    <x v="61"/>
    <s v="King, Robert"/>
    <x v="414"/>
    <d v="1998-02-23T00:00:00"/>
    <x v="2"/>
    <x v="603"/>
    <x v="2"/>
  </r>
  <r>
    <n v="10869"/>
    <x v="55"/>
    <s v="Buchanan, Steven"/>
    <x v="414"/>
    <d v="1998-02-09T00:00:00"/>
    <x v="1"/>
    <x v="604"/>
    <x v="13"/>
  </r>
  <r>
    <n v="10870"/>
    <x v="62"/>
    <s v="Buchanan, Steven"/>
    <x v="414"/>
    <d v="1998-02-13T00:00:00"/>
    <x v="0"/>
    <x v="605"/>
    <x v="18"/>
  </r>
  <r>
    <n v="10871"/>
    <x v="47"/>
    <s v="Dodsworth, Anne"/>
    <x v="415"/>
    <d v="1998-02-10T00:00:00"/>
    <x v="2"/>
    <x v="606"/>
    <x v="0"/>
  </r>
  <r>
    <n v="10872"/>
    <x v="36"/>
    <s v="Buchanan, Steven"/>
    <x v="415"/>
    <d v="1998-02-09T00:00:00"/>
    <x v="2"/>
    <x v="607"/>
    <x v="12"/>
  </r>
  <r>
    <n v="10873"/>
    <x v="0"/>
    <s v="Peacock, Margaret"/>
    <x v="416"/>
    <d v="1998-02-09T00:00:00"/>
    <x v="1"/>
    <x v="608"/>
    <x v="10"/>
  </r>
  <r>
    <n v="10874"/>
    <x v="36"/>
    <s v="Buchanan, Steven"/>
    <x v="416"/>
    <d v="1998-02-11T00:00:00"/>
    <x v="2"/>
    <x v="609"/>
    <x v="12"/>
  </r>
  <r>
    <n v="10875"/>
    <x v="26"/>
    <s v="Peacock, Margaret"/>
    <x v="416"/>
    <d v="1998-03-03T00:00:00"/>
    <x v="2"/>
    <x v="610"/>
    <x v="9"/>
  </r>
  <r>
    <n v="10876"/>
    <x v="47"/>
    <s v="King, Robert"/>
    <x v="417"/>
    <d v="1998-02-12T00:00:00"/>
    <x v="0"/>
    <x v="611"/>
    <x v="0"/>
  </r>
  <r>
    <n v="10877"/>
    <x v="30"/>
    <s v="Davolio, Nancy"/>
    <x v="417"/>
    <d v="1998-02-19T00:00:00"/>
    <x v="1"/>
    <x v="612"/>
    <x v="2"/>
  </r>
  <r>
    <n v="10878"/>
    <x v="21"/>
    <s v="Peacock, Margaret"/>
    <x v="418"/>
    <d v="1998-02-12T00:00:00"/>
    <x v="1"/>
    <x v="613"/>
    <x v="1"/>
  </r>
  <r>
    <n v="10879"/>
    <x v="0"/>
    <s v="Leverling, Janet"/>
    <x v="418"/>
    <d v="1998-02-12T00:00:00"/>
    <x v="0"/>
    <x v="614"/>
    <x v="10"/>
  </r>
  <r>
    <n v="10880"/>
    <x v="14"/>
    <s v="King, Robert"/>
    <x v="418"/>
    <d v="1998-02-18T00:00:00"/>
    <x v="1"/>
    <x v="615"/>
    <x v="9"/>
  </r>
  <r>
    <n v="10881"/>
    <x v="79"/>
    <s v="Peacock, Margaret"/>
    <x v="419"/>
    <d v="1998-02-18T00:00:00"/>
    <x v="1"/>
    <x v="616"/>
    <x v="20"/>
  </r>
  <r>
    <n v="10882"/>
    <x v="44"/>
    <s v="Peacock, Margaret"/>
    <x v="419"/>
    <d v="1998-02-20T00:00:00"/>
    <x v="0"/>
    <x v="617"/>
    <x v="8"/>
  </r>
  <r>
    <n v="10883"/>
    <x v="37"/>
    <s v="Callahan, Laura"/>
    <x v="420"/>
    <d v="1998-02-20T00:00:00"/>
    <x v="0"/>
    <x v="618"/>
    <x v="8"/>
  </r>
  <r>
    <n v="10884"/>
    <x v="83"/>
    <s v="Peacock, Margaret"/>
    <x v="420"/>
    <d v="1998-02-13T00:00:00"/>
    <x v="2"/>
    <x v="619"/>
    <x v="8"/>
  </r>
  <r>
    <n v="10885"/>
    <x v="4"/>
    <s v="Suyama, Michael"/>
    <x v="420"/>
    <d v="1998-02-18T00:00:00"/>
    <x v="0"/>
    <x v="620"/>
    <x v="3"/>
  </r>
  <r>
    <n v="10886"/>
    <x v="2"/>
    <s v="Davolio, Nancy"/>
    <x v="421"/>
    <d v="1998-03-02T00:00:00"/>
    <x v="1"/>
    <x v="256"/>
    <x v="2"/>
  </r>
  <r>
    <n v="10887"/>
    <x v="59"/>
    <s v="Callahan, Laura"/>
    <x v="421"/>
    <d v="1998-02-16T00:00:00"/>
    <x v="0"/>
    <x v="621"/>
    <x v="12"/>
  </r>
  <r>
    <n v="10888"/>
    <x v="36"/>
    <s v="Davolio, Nancy"/>
    <x v="422"/>
    <d v="1998-02-23T00:00:00"/>
    <x v="2"/>
    <x v="622"/>
    <x v="12"/>
  </r>
  <r>
    <n v="10889"/>
    <x v="13"/>
    <s v="Dodsworth, Anne"/>
    <x v="422"/>
    <d v="1998-02-23T00:00:00"/>
    <x v="0"/>
    <x v="623"/>
    <x v="8"/>
  </r>
  <r>
    <n v="10890"/>
    <x v="40"/>
    <s v="King, Robert"/>
    <x v="422"/>
    <d v="1998-02-18T00:00:00"/>
    <x v="1"/>
    <x v="624"/>
    <x v="0"/>
  </r>
  <r>
    <n v="10891"/>
    <x v="27"/>
    <s v="King, Robert"/>
    <x v="423"/>
    <d v="1998-02-19T00:00:00"/>
    <x v="2"/>
    <x v="625"/>
    <x v="1"/>
  </r>
  <r>
    <n v="10892"/>
    <x v="81"/>
    <s v="Peacock, Margaret"/>
    <x v="423"/>
    <d v="1998-02-19T00:00:00"/>
    <x v="2"/>
    <x v="626"/>
    <x v="3"/>
  </r>
  <r>
    <n v="10893"/>
    <x v="43"/>
    <s v="Dodsworth, Anne"/>
    <x v="424"/>
    <d v="1998-02-20T00:00:00"/>
    <x v="2"/>
    <x v="627"/>
    <x v="1"/>
  </r>
  <r>
    <n v="10894"/>
    <x v="44"/>
    <s v="Davolio, Nancy"/>
    <x v="424"/>
    <d v="1998-02-20T00:00:00"/>
    <x v="1"/>
    <x v="628"/>
    <x v="8"/>
  </r>
  <r>
    <n v="10895"/>
    <x v="9"/>
    <s v="Leverling, Janet"/>
    <x v="424"/>
    <d v="1998-02-23T00:00:00"/>
    <x v="1"/>
    <x v="629"/>
    <x v="6"/>
  </r>
  <r>
    <n v="10896"/>
    <x v="81"/>
    <s v="King, Robert"/>
    <x v="425"/>
    <d v="1998-02-27T00:00:00"/>
    <x v="0"/>
    <x v="630"/>
    <x v="3"/>
  </r>
  <r>
    <n v="10897"/>
    <x v="34"/>
    <s v="Leverling, Janet"/>
    <x v="425"/>
    <d v="1998-02-25T00:00:00"/>
    <x v="2"/>
    <x v="631"/>
    <x v="14"/>
  </r>
  <r>
    <n v="10898"/>
    <x v="69"/>
    <s v="Peacock, Margaret"/>
    <x v="426"/>
    <d v="1998-03-06T00:00:00"/>
    <x v="2"/>
    <x v="407"/>
    <x v="20"/>
  </r>
  <r>
    <n v="10899"/>
    <x v="29"/>
    <s v="Buchanan, Steven"/>
    <x v="426"/>
    <d v="1998-02-26T00:00:00"/>
    <x v="0"/>
    <x v="632"/>
    <x v="5"/>
  </r>
  <r>
    <n v="10900"/>
    <x v="7"/>
    <s v="Davolio, Nancy"/>
    <x v="426"/>
    <d v="1998-03-04T00:00:00"/>
    <x v="2"/>
    <x v="633"/>
    <x v="2"/>
  </r>
  <r>
    <n v="10901"/>
    <x v="8"/>
    <s v="Peacock, Margaret"/>
    <x v="427"/>
    <d v="1998-02-26T00:00:00"/>
    <x v="1"/>
    <x v="634"/>
    <x v="5"/>
  </r>
  <r>
    <n v="10902"/>
    <x v="14"/>
    <s v="Davolio, Nancy"/>
    <x v="427"/>
    <d v="1998-03-03T00:00:00"/>
    <x v="1"/>
    <x v="635"/>
    <x v="9"/>
  </r>
  <r>
    <n v="10903"/>
    <x v="2"/>
    <s v="Leverling, Janet"/>
    <x v="428"/>
    <d v="1998-03-04T00:00:00"/>
    <x v="0"/>
    <x v="107"/>
    <x v="2"/>
  </r>
  <r>
    <n v="10904"/>
    <x v="19"/>
    <s v="Leverling, Janet"/>
    <x v="428"/>
    <d v="1998-02-27T00:00:00"/>
    <x v="0"/>
    <x v="636"/>
    <x v="8"/>
  </r>
  <r>
    <n v="10905"/>
    <x v="7"/>
    <s v="Dodsworth, Anne"/>
    <x v="428"/>
    <d v="1998-03-06T00:00:00"/>
    <x v="2"/>
    <x v="637"/>
    <x v="2"/>
  </r>
  <r>
    <n v="10906"/>
    <x v="62"/>
    <s v="Peacock, Margaret"/>
    <x v="429"/>
    <d v="1998-03-03T00:00:00"/>
    <x v="0"/>
    <x v="638"/>
    <x v="18"/>
  </r>
  <r>
    <n v="10907"/>
    <x v="87"/>
    <s v="Suyama, Michael"/>
    <x v="429"/>
    <d v="1998-02-27T00:00:00"/>
    <x v="0"/>
    <x v="639"/>
    <x v="0"/>
  </r>
  <r>
    <n v="10908"/>
    <x v="31"/>
    <s v="Peacock, Margaret"/>
    <x v="430"/>
    <d v="1998-03-06T00:00:00"/>
    <x v="2"/>
    <x v="640"/>
    <x v="11"/>
  </r>
  <r>
    <n v="10909"/>
    <x v="64"/>
    <s v="Davolio, Nancy"/>
    <x v="430"/>
    <d v="1998-03-10T00:00:00"/>
    <x v="2"/>
    <x v="641"/>
    <x v="19"/>
  </r>
  <r>
    <n v="10910"/>
    <x v="0"/>
    <s v="Davolio, Nancy"/>
    <x v="430"/>
    <d v="1998-03-04T00:00:00"/>
    <x v="0"/>
    <x v="642"/>
    <x v="10"/>
  </r>
  <r>
    <n v="10911"/>
    <x v="36"/>
    <s v="Leverling, Janet"/>
    <x v="430"/>
    <d v="1998-03-05T00:00:00"/>
    <x v="1"/>
    <x v="643"/>
    <x v="12"/>
  </r>
  <r>
    <n v="10912"/>
    <x v="34"/>
    <s v="Fuller, Andrew"/>
    <x v="430"/>
    <d v="1998-03-18T00:00:00"/>
    <x v="2"/>
    <x v="644"/>
    <x v="14"/>
  </r>
  <r>
    <n v="10913"/>
    <x v="61"/>
    <s v="Peacock, Margaret"/>
    <x v="430"/>
    <d v="1998-03-04T00:00:00"/>
    <x v="1"/>
    <x v="645"/>
    <x v="2"/>
  </r>
  <r>
    <n v="10914"/>
    <x v="61"/>
    <s v="Suyama, Michael"/>
    <x v="431"/>
    <d v="1998-03-02T00:00:00"/>
    <x v="1"/>
    <x v="254"/>
    <x v="2"/>
  </r>
  <r>
    <n v="10915"/>
    <x v="24"/>
    <s v="Fuller, Andrew"/>
    <x v="431"/>
    <d v="1998-03-02T00:00:00"/>
    <x v="2"/>
    <x v="646"/>
    <x v="7"/>
  </r>
  <r>
    <n v="10916"/>
    <x v="74"/>
    <s v="Davolio, Nancy"/>
    <x v="431"/>
    <d v="1998-03-09T00:00:00"/>
    <x v="2"/>
    <x v="647"/>
    <x v="20"/>
  </r>
  <r>
    <n v="10917"/>
    <x v="28"/>
    <s v="Peacock, Margaret"/>
    <x v="432"/>
    <d v="1998-03-11T00:00:00"/>
    <x v="2"/>
    <x v="648"/>
    <x v="12"/>
  </r>
  <r>
    <n v="10918"/>
    <x v="65"/>
    <s v="Leverling, Janet"/>
    <x v="432"/>
    <d v="1998-03-11T00:00:00"/>
    <x v="0"/>
    <x v="649"/>
    <x v="16"/>
  </r>
  <r>
    <n v="10919"/>
    <x v="66"/>
    <s v="Fuller, Andrew"/>
    <x v="432"/>
    <d v="1998-03-04T00:00:00"/>
    <x v="2"/>
    <x v="650"/>
    <x v="5"/>
  </r>
  <r>
    <n v="10920"/>
    <x v="54"/>
    <s v="Peacock, Margaret"/>
    <x v="433"/>
    <d v="1998-03-09T00:00:00"/>
    <x v="2"/>
    <x v="651"/>
    <x v="13"/>
  </r>
  <r>
    <n v="10921"/>
    <x v="60"/>
    <s v="Davolio, Nancy"/>
    <x v="433"/>
    <d v="1998-03-09T00:00:00"/>
    <x v="1"/>
    <x v="652"/>
    <x v="17"/>
  </r>
  <r>
    <n v="10922"/>
    <x v="2"/>
    <s v="Buchanan, Steven"/>
    <x v="433"/>
    <d v="1998-03-05T00:00:00"/>
    <x v="0"/>
    <x v="653"/>
    <x v="2"/>
  </r>
  <r>
    <n v="10923"/>
    <x v="52"/>
    <s v="King, Robert"/>
    <x v="433"/>
    <d v="1998-03-13T00:00:00"/>
    <x v="0"/>
    <x v="654"/>
    <x v="0"/>
  </r>
  <r>
    <n v="10924"/>
    <x v="26"/>
    <s v="Leverling, Janet"/>
    <x v="434"/>
    <d v="1998-04-08T00:00:00"/>
    <x v="2"/>
    <x v="655"/>
    <x v="9"/>
  </r>
  <r>
    <n v="10925"/>
    <x v="2"/>
    <s v="Leverling, Janet"/>
    <x v="434"/>
    <d v="1998-03-13T00:00:00"/>
    <x v="1"/>
    <x v="656"/>
    <x v="2"/>
  </r>
  <r>
    <n v="10926"/>
    <x v="38"/>
    <s v="Peacock, Margaret"/>
    <x v="434"/>
    <d v="1998-03-11T00:00:00"/>
    <x v="0"/>
    <x v="657"/>
    <x v="7"/>
  </r>
  <r>
    <n v="10927"/>
    <x v="88"/>
    <s v="Peacock, Margaret"/>
    <x v="435"/>
    <d v="1998-04-08T00:00:00"/>
    <x v="1"/>
    <x v="658"/>
    <x v="0"/>
  </r>
  <r>
    <n v="10928"/>
    <x v="59"/>
    <s v="Davolio, Nancy"/>
    <x v="435"/>
    <d v="1998-03-18T00:00:00"/>
    <x v="1"/>
    <x v="545"/>
    <x v="12"/>
  </r>
  <r>
    <n v="10929"/>
    <x v="17"/>
    <s v="Suyama, Michael"/>
    <x v="435"/>
    <d v="1998-03-12T00:00:00"/>
    <x v="1"/>
    <x v="659"/>
    <x v="1"/>
  </r>
  <r>
    <n v="10930"/>
    <x v="4"/>
    <s v="Peacock, Margaret"/>
    <x v="436"/>
    <d v="1998-03-18T00:00:00"/>
    <x v="0"/>
    <x v="660"/>
    <x v="3"/>
  </r>
  <r>
    <n v="10931"/>
    <x v="6"/>
    <s v="Peacock, Margaret"/>
    <x v="436"/>
    <d v="1998-03-19T00:00:00"/>
    <x v="2"/>
    <x v="661"/>
    <x v="4"/>
  </r>
  <r>
    <n v="10932"/>
    <x v="47"/>
    <s v="Callahan, Laura"/>
    <x v="436"/>
    <d v="1998-03-24T00:00:00"/>
    <x v="1"/>
    <x v="662"/>
    <x v="0"/>
  </r>
  <r>
    <n v="10933"/>
    <x v="41"/>
    <s v="Suyama, Michael"/>
    <x v="436"/>
    <d v="1998-03-16T00:00:00"/>
    <x v="0"/>
    <x v="663"/>
    <x v="13"/>
  </r>
  <r>
    <n v="10934"/>
    <x v="27"/>
    <s v="Leverling, Janet"/>
    <x v="437"/>
    <d v="1998-03-12T00:00:00"/>
    <x v="0"/>
    <x v="664"/>
    <x v="1"/>
  </r>
  <r>
    <n v="10935"/>
    <x v="7"/>
    <s v="Peacock, Margaret"/>
    <x v="437"/>
    <d v="1998-03-18T00:00:00"/>
    <x v="0"/>
    <x v="665"/>
    <x v="2"/>
  </r>
  <r>
    <n v="10936"/>
    <x v="80"/>
    <s v="Leverling, Janet"/>
    <x v="437"/>
    <d v="1998-03-18T00:00:00"/>
    <x v="2"/>
    <x v="666"/>
    <x v="8"/>
  </r>
  <r>
    <n v="10937"/>
    <x v="79"/>
    <s v="King, Robert"/>
    <x v="438"/>
    <d v="1998-03-13T00:00:00"/>
    <x v="0"/>
    <x v="667"/>
    <x v="20"/>
  </r>
  <r>
    <n v="10938"/>
    <x v="21"/>
    <s v="Leverling, Janet"/>
    <x v="438"/>
    <d v="1998-03-16T00:00:00"/>
    <x v="2"/>
    <x v="668"/>
    <x v="1"/>
  </r>
  <r>
    <n v="10939"/>
    <x v="23"/>
    <s v="Fuller, Andrew"/>
    <x v="438"/>
    <d v="1998-03-13T00:00:00"/>
    <x v="2"/>
    <x v="669"/>
    <x v="11"/>
  </r>
  <r>
    <n v="10940"/>
    <x v="47"/>
    <s v="Callahan, Laura"/>
    <x v="439"/>
    <d v="1998-03-23T00:00:00"/>
    <x v="0"/>
    <x v="670"/>
    <x v="0"/>
  </r>
  <r>
    <n v="10941"/>
    <x v="44"/>
    <s v="King, Robert"/>
    <x v="439"/>
    <d v="1998-03-20T00:00:00"/>
    <x v="2"/>
    <x v="671"/>
    <x v="8"/>
  </r>
  <r>
    <n v="10942"/>
    <x v="31"/>
    <s v="Dodsworth, Anne"/>
    <x v="439"/>
    <d v="1998-03-18T00:00:00"/>
    <x v="0"/>
    <x v="672"/>
    <x v="11"/>
  </r>
  <r>
    <n v="10943"/>
    <x v="32"/>
    <s v="Peacock, Margaret"/>
    <x v="439"/>
    <d v="1998-03-19T00:00:00"/>
    <x v="2"/>
    <x v="673"/>
    <x v="13"/>
  </r>
  <r>
    <n v="10944"/>
    <x v="65"/>
    <s v="Suyama, Michael"/>
    <x v="440"/>
    <d v="1998-03-13T00:00:00"/>
    <x v="0"/>
    <x v="674"/>
    <x v="16"/>
  </r>
  <r>
    <n v="10945"/>
    <x v="25"/>
    <s v="Peacock, Margaret"/>
    <x v="440"/>
    <d v="1998-03-18T00:00:00"/>
    <x v="1"/>
    <x v="675"/>
    <x v="1"/>
  </r>
  <r>
    <n v="10946"/>
    <x v="60"/>
    <s v="Davolio, Nancy"/>
    <x v="440"/>
    <d v="1998-03-19T00:00:00"/>
    <x v="2"/>
    <x v="676"/>
    <x v="17"/>
  </r>
  <r>
    <n v="10947"/>
    <x v="32"/>
    <s v="Leverling, Janet"/>
    <x v="441"/>
    <d v="1998-03-16T00:00:00"/>
    <x v="2"/>
    <x v="677"/>
    <x v="13"/>
  </r>
  <r>
    <n v="10948"/>
    <x v="36"/>
    <s v="Leverling, Janet"/>
    <x v="441"/>
    <d v="1998-03-19T00:00:00"/>
    <x v="0"/>
    <x v="678"/>
    <x v="12"/>
  </r>
  <r>
    <n v="10949"/>
    <x v="65"/>
    <s v="Fuller, Andrew"/>
    <x v="441"/>
    <d v="1998-03-17T00:00:00"/>
    <x v="0"/>
    <x v="679"/>
    <x v="16"/>
  </r>
  <r>
    <n v="10950"/>
    <x v="23"/>
    <s v="Davolio, Nancy"/>
    <x v="442"/>
    <d v="1998-03-23T00:00:00"/>
    <x v="2"/>
    <x v="680"/>
    <x v="11"/>
  </r>
  <r>
    <n v="10951"/>
    <x v="6"/>
    <s v="Dodsworth, Anne"/>
    <x v="442"/>
    <d v="1998-04-07T00:00:00"/>
    <x v="2"/>
    <x v="681"/>
    <x v="4"/>
  </r>
  <r>
    <n v="10952"/>
    <x v="85"/>
    <s v="Davolio, Nancy"/>
    <x v="442"/>
    <d v="1998-03-24T00:00:00"/>
    <x v="1"/>
    <x v="682"/>
    <x v="1"/>
  </r>
  <r>
    <n v="10953"/>
    <x v="54"/>
    <s v="Dodsworth, Anne"/>
    <x v="442"/>
    <d v="1998-03-25T00:00:00"/>
    <x v="2"/>
    <x v="483"/>
    <x v="13"/>
  </r>
  <r>
    <n v="10954"/>
    <x v="66"/>
    <s v="Buchanan, Steven"/>
    <x v="443"/>
    <d v="1998-03-20T00:00:00"/>
    <x v="1"/>
    <x v="683"/>
    <x v="5"/>
  </r>
  <r>
    <n v="10955"/>
    <x v="14"/>
    <s v="Callahan, Laura"/>
    <x v="443"/>
    <d v="1998-03-20T00:00:00"/>
    <x v="2"/>
    <x v="677"/>
    <x v="9"/>
  </r>
  <r>
    <n v="10956"/>
    <x v="77"/>
    <s v="Suyama, Michael"/>
    <x v="443"/>
    <d v="1998-03-20T00:00:00"/>
    <x v="2"/>
    <x v="684"/>
    <x v="1"/>
  </r>
  <r>
    <n v="10957"/>
    <x v="8"/>
    <s v="Callahan, Laura"/>
    <x v="444"/>
    <d v="1998-03-27T00:00:00"/>
    <x v="0"/>
    <x v="685"/>
    <x v="5"/>
  </r>
  <r>
    <n v="10958"/>
    <x v="69"/>
    <s v="King, Robert"/>
    <x v="444"/>
    <d v="1998-03-27T00:00:00"/>
    <x v="2"/>
    <x v="686"/>
    <x v="20"/>
  </r>
  <r>
    <n v="10959"/>
    <x v="71"/>
    <s v="Suyama, Michael"/>
    <x v="444"/>
    <d v="1998-03-23T00:00:00"/>
    <x v="2"/>
    <x v="451"/>
    <x v="2"/>
  </r>
  <r>
    <n v="10960"/>
    <x v="8"/>
    <s v="Leverling, Janet"/>
    <x v="445"/>
    <d v="1998-04-08T00:00:00"/>
    <x v="1"/>
    <x v="687"/>
    <x v="5"/>
  </r>
  <r>
    <n v="10961"/>
    <x v="61"/>
    <s v="Callahan, Laura"/>
    <x v="445"/>
    <d v="1998-03-30T00:00:00"/>
    <x v="1"/>
    <x v="688"/>
    <x v="2"/>
  </r>
  <r>
    <n v="10962"/>
    <x v="21"/>
    <s v="Callahan, Laura"/>
    <x v="445"/>
    <d v="1998-03-23T00:00:00"/>
    <x v="2"/>
    <x v="689"/>
    <x v="1"/>
  </r>
  <r>
    <n v="10963"/>
    <x v="46"/>
    <s v="Dodsworth, Anne"/>
    <x v="445"/>
    <d v="1998-03-26T00:00:00"/>
    <x v="0"/>
    <x v="690"/>
    <x v="15"/>
  </r>
  <r>
    <n v="10964"/>
    <x v="87"/>
    <s v="Leverling, Janet"/>
    <x v="446"/>
    <d v="1998-03-24T00:00:00"/>
    <x v="2"/>
    <x v="691"/>
    <x v="0"/>
  </r>
  <r>
    <n v="10965"/>
    <x v="11"/>
    <s v="Suyama, Michael"/>
    <x v="446"/>
    <d v="1998-03-30T00:00:00"/>
    <x v="0"/>
    <x v="692"/>
    <x v="8"/>
  </r>
  <r>
    <n v="10966"/>
    <x v="5"/>
    <s v="Peacock, Margaret"/>
    <x v="446"/>
    <d v="1998-04-08T00:00:00"/>
    <x v="1"/>
    <x v="693"/>
    <x v="4"/>
  </r>
  <r>
    <n v="10967"/>
    <x v="73"/>
    <s v="Fuller, Andrew"/>
    <x v="447"/>
    <d v="1998-04-02T00:00:00"/>
    <x v="2"/>
    <x v="694"/>
    <x v="1"/>
  </r>
  <r>
    <n v="10968"/>
    <x v="9"/>
    <s v="Davolio, Nancy"/>
    <x v="447"/>
    <d v="1998-04-01T00:00:00"/>
    <x v="0"/>
    <x v="695"/>
    <x v="6"/>
  </r>
  <r>
    <n v="10969"/>
    <x v="33"/>
    <s v="Davolio, Nancy"/>
    <x v="447"/>
    <d v="1998-03-30T00:00:00"/>
    <x v="2"/>
    <x v="696"/>
    <x v="2"/>
  </r>
  <r>
    <n v="10970"/>
    <x v="45"/>
    <s v="Dodsworth, Anne"/>
    <x v="448"/>
    <d v="1998-04-24T00:00:00"/>
    <x v="1"/>
    <x v="697"/>
    <x v="12"/>
  </r>
  <r>
    <n v="10971"/>
    <x v="86"/>
    <s v="Fuller, Andrew"/>
    <x v="448"/>
    <d v="1998-04-02T00:00:00"/>
    <x v="2"/>
    <x v="698"/>
    <x v="0"/>
  </r>
  <r>
    <n v="10972"/>
    <x v="88"/>
    <s v="Peacock, Margaret"/>
    <x v="448"/>
    <d v="1998-03-26T00:00:00"/>
    <x v="2"/>
    <x v="699"/>
    <x v="0"/>
  </r>
  <r>
    <n v="10973"/>
    <x v="88"/>
    <s v="Suyama, Michael"/>
    <x v="448"/>
    <d v="1998-03-27T00:00:00"/>
    <x v="2"/>
    <x v="700"/>
    <x v="0"/>
  </r>
  <r>
    <n v="10974"/>
    <x v="20"/>
    <s v="Leverling, Janet"/>
    <x v="449"/>
    <d v="1998-04-03T00:00:00"/>
    <x v="0"/>
    <x v="701"/>
    <x v="8"/>
  </r>
  <r>
    <n v="10975"/>
    <x v="65"/>
    <s v="Davolio, Nancy"/>
    <x v="449"/>
    <d v="1998-03-27T00:00:00"/>
    <x v="0"/>
    <x v="702"/>
    <x v="16"/>
  </r>
  <r>
    <n v="10976"/>
    <x v="8"/>
    <s v="Davolio, Nancy"/>
    <x v="449"/>
    <d v="1998-04-03T00:00:00"/>
    <x v="1"/>
    <x v="703"/>
    <x v="5"/>
  </r>
  <r>
    <n v="10977"/>
    <x v="14"/>
    <s v="Callahan, Laura"/>
    <x v="450"/>
    <d v="1998-04-10T00:00:00"/>
    <x v="0"/>
    <x v="704"/>
    <x v="9"/>
  </r>
  <r>
    <n v="10978"/>
    <x v="81"/>
    <s v="Dodsworth, Anne"/>
    <x v="450"/>
    <d v="1998-04-23T00:00:00"/>
    <x v="2"/>
    <x v="705"/>
    <x v="3"/>
  </r>
  <r>
    <n v="10979"/>
    <x v="9"/>
    <s v="Callahan, Laura"/>
    <x v="450"/>
    <d v="1998-03-31T00:00:00"/>
    <x v="2"/>
    <x v="706"/>
    <x v="6"/>
  </r>
  <r>
    <n v="10980"/>
    <x v="14"/>
    <s v="Peacock, Margaret"/>
    <x v="451"/>
    <d v="1998-04-17T00:00:00"/>
    <x v="1"/>
    <x v="707"/>
    <x v="9"/>
  </r>
  <r>
    <n v="10981"/>
    <x v="2"/>
    <s v="Davolio, Nancy"/>
    <x v="451"/>
    <d v="1998-04-02T00:00:00"/>
    <x v="2"/>
    <x v="708"/>
    <x v="2"/>
  </r>
  <r>
    <n v="10982"/>
    <x v="65"/>
    <s v="Fuller, Andrew"/>
    <x v="451"/>
    <d v="1998-04-08T00:00:00"/>
    <x v="1"/>
    <x v="709"/>
    <x v="16"/>
  </r>
  <r>
    <n v="10983"/>
    <x v="44"/>
    <s v="Fuller, Andrew"/>
    <x v="451"/>
    <d v="1998-04-06T00:00:00"/>
    <x v="2"/>
    <x v="710"/>
    <x v="8"/>
  </r>
  <r>
    <n v="10984"/>
    <x v="44"/>
    <s v="Davolio, Nancy"/>
    <x v="452"/>
    <d v="1998-04-03T00:00:00"/>
    <x v="0"/>
    <x v="711"/>
    <x v="8"/>
  </r>
  <r>
    <n v="10985"/>
    <x v="34"/>
    <s v="Fuller, Andrew"/>
    <x v="452"/>
    <d v="1998-04-02T00:00:00"/>
    <x v="1"/>
    <x v="712"/>
    <x v="14"/>
  </r>
  <r>
    <n v="10986"/>
    <x v="69"/>
    <s v="Callahan, Laura"/>
    <x v="452"/>
    <d v="1998-04-21T00:00:00"/>
    <x v="2"/>
    <x v="713"/>
    <x v="20"/>
  </r>
  <r>
    <n v="10987"/>
    <x v="57"/>
    <s v="Callahan, Laura"/>
    <x v="453"/>
    <d v="1998-04-06T00:00:00"/>
    <x v="1"/>
    <x v="714"/>
    <x v="13"/>
  </r>
  <r>
    <n v="10988"/>
    <x v="13"/>
    <s v="Leverling, Janet"/>
    <x v="453"/>
    <d v="1998-04-10T00:00:00"/>
    <x v="2"/>
    <x v="715"/>
    <x v="8"/>
  </r>
  <r>
    <n v="10989"/>
    <x v="12"/>
    <s v="Fuller, Andrew"/>
    <x v="453"/>
    <d v="1998-04-02T00:00:00"/>
    <x v="1"/>
    <x v="716"/>
    <x v="2"/>
  </r>
  <r>
    <n v="10990"/>
    <x v="9"/>
    <s v="Fuller, Andrew"/>
    <x v="454"/>
    <d v="1998-04-07T00:00:00"/>
    <x v="0"/>
    <x v="717"/>
    <x v="6"/>
  </r>
  <r>
    <n v="10991"/>
    <x v="21"/>
    <s v="Davolio, Nancy"/>
    <x v="454"/>
    <d v="1998-04-07T00:00:00"/>
    <x v="1"/>
    <x v="718"/>
    <x v="1"/>
  </r>
  <r>
    <n v="10992"/>
    <x v="39"/>
    <s v="Davolio, Nancy"/>
    <x v="454"/>
    <d v="1998-04-03T00:00:00"/>
    <x v="0"/>
    <x v="719"/>
    <x v="8"/>
  </r>
  <r>
    <n v="10993"/>
    <x v="14"/>
    <s v="King, Robert"/>
    <x v="454"/>
    <d v="1998-04-10T00:00:00"/>
    <x v="0"/>
    <x v="720"/>
    <x v="9"/>
  </r>
  <r>
    <n v="10994"/>
    <x v="60"/>
    <s v="Fuller, Andrew"/>
    <x v="455"/>
    <d v="1998-04-09T00:00:00"/>
    <x v="0"/>
    <x v="721"/>
    <x v="17"/>
  </r>
  <r>
    <n v="10995"/>
    <x v="42"/>
    <s v="Davolio, Nancy"/>
    <x v="455"/>
    <d v="1998-04-06T00:00:00"/>
    <x v="0"/>
    <x v="722"/>
    <x v="7"/>
  </r>
  <r>
    <n v="10996"/>
    <x v="21"/>
    <s v="Peacock, Margaret"/>
    <x v="455"/>
    <d v="1998-04-10T00:00:00"/>
    <x v="2"/>
    <x v="723"/>
    <x v="1"/>
  </r>
  <r>
    <n v="10997"/>
    <x v="29"/>
    <s v="Callahan, Laura"/>
    <x v="456"/>
    <d v="1998-04-13T00:00:00"/>
    <x v="2"/>
    <x v="724"/>
    <x v="5"/>
  </r>
  <r>
    <n v="10998"/>
    <x v="62"/>
    <s v="Callahan, Laura"/>
    <x v="456"/>
    <d v="1998-04-17T00:00:00"/>
    <x v="2"/>
    <x v="725"/>
    <x v="18"/>
  </r>
  <r>
    <n v="10999"/>
    <x v="67"/>
    <s v="Suyama, Michael"/>
    <x v="456"/>
    <d v="1998-04-10T00:00:00"/>
    <x v="2"/>
    <x v="726"/>
    <x v="1"/>
  </r>
  <r>
    <n v="11000"/>
    <x v="13"/>
    <s v="Fuller, Andrew"/>
    <x v="457"/>
    <d v="1998-04-14T00:00:00"/>
    <x v="0"/>
    <x v="727"/>
    <x v="8"/>
  </r>
  <r>
    <n v="11001"/>
    <x v="14"/>
    <s v="Fuller, Andrew"/>
    <x v="457"/>
    <d v="1998-04-14T00:00:00"/>
    <x v="2"/>
    <x v="728"/>
    <x v="9"/>
  </r>
  <r>
    <n v="11002"/>
    <x v="44"/>
    <s v="Peacock, Margaret"/>
    <x v="457"/>
    <d v="1998-04-16T00:00:00"/>
    <x v="1"/>
    <x v="729"/>
    <x v="8"/>
  </r>
  <r>
    <n v="11003"/>
    <x v="84"/>
    <s v="Leverling, Janet"/>
    <x v="457"/>
    <d v="1998-04-08T00:00:00"/>
    <x v="0"/>
    <x v="730"/>
    <x v="8"/>
  </r>
  <r>
    <n v="11004"/>
    <x v="81"/>
    <s v="Leverling, Janet"/>
    <x v="458"/>
    <d v="1998-04-20T00:00:00"/>
    <x v="1"/>
    <x v="731"/>
    <x v="3"/>
  </r>
  <r>
    <n v="11005"/>
    <x v="0"/>
    <s v="Fuller, Andrew"/>
    <x v="458"/>
    <d v="1998-04-10T00:00:00"/>
    <x v="1"/>
    <x v="361"/>
    <x v="10"/>
  </r>
  <r>
    <n v="11006"/>
    <x v="80"/>
    <s v="Leverling, Janet"/>
    <x v="458"/>
    <d v="1998-04-15T00:00:00"/>
    <x v="2"/>
    <x v="732"/>
    <x v="8"/>
  </r>
  <r>
    <n v="11007"/>
    <x v="49"/>
    <s v="Callahan, Laura"/>
    <x v="459"/>
    <d v="1998-04-13T00:00:00"/>
    <x v="2"/>
    <x v="733"/>
    <x v="15"/>
  </r>
  <r>
    <n v="11008"/>
    <x v="9"/>
    <s v="King, Robert"/>
    <x v="459"/>
    <m/>
    <x v="0"/>
    <x v="734"/>
    <x v="6"/>
  </r>
  <r>
    <n v="11009"/>
    <x v="36"/>
    <s v="Fuller, Andrew"/>
    <x v="459"/>
    <d v="1998-04-10T00:00:00"/>
    <x v="1"/>
    <x v="735"/>
    <x v="12"/>
  </r>
  <r>
    <n v="11010"/>
    <x v="31"/>
    <s v="Fuller, Andrew"/>
    <x v="460"/>
    <d v="1998-04-21T00:00:00"/>
    <x v="2"/>
    <x v="736"/>
    <x v="11"/>
  </r>
  <r>
    <n v="11011"/>
    <x v="85"/>
    <s v="Leverling, Janet"/>
    <x v="460"/>
    <d v="1998-04-13T00:00:00"/>
    <x v="1"/>
    <x v="632"/>
    <x v="1"/>
  </r>
  <r>
    <n v="11012"/>
    <x v="17"/>
    <s v="Davolio, Nancy"/>
    <x v="460"/>
    <d v="1998-04-17T00:00:00"/>
    <x v="0"/>
    <x v="737"/>
    <x v="1"/>
  </r>
  <r>
    <n v="11013"/>
    <x v="28"/>
    <s v="Fuller, Andrew"/>
    <x v="460"/>
    <d v="1998-04-10T00:00:00"/>
    <x v="1"/>
    <x v="738"/>
    <x v="12"/>
  </r>
  <r>
    <n v="11014"/>
    <x v="66"/>
    <s v="Fuller, Andrew"/>
    <x v="461"/>
    <d v="1998-04-15T00:00:00"/>
    <x v="0"/>
    <x v="739"/>
    <x v="5"/>
  </r>
  <r>
    <n v="11015"/>
    <x v="64"/>
    <s v="Fuller, Andrew"/>
    <x v="461"/>
    <d v="1998-04-20T00:00:00"/>
    <x v="2"/>
    <x v="740"/>
    <x v="19"/>
  </r>
  <r>
    <n v="11016"/>
    <x v="54"/>
    <s v="Dodsworth, Anne"/>
    <x v="461"/>
    <d v="1998-04-13T00:00:00"/>
    <x v="2"/>
    <x v="741"/>
    <x v="13"/>
  </r>
  <r>
    <n v="11017"/>
    <x v="9"/>
    <s v="Dodsworth, Anne"/>
    <x v="462"/>
    <d v="1998-04-20T00:00:00"/>
    <x v="2"/>
    <x v="742"/>
    <x v="6"/>
  </r>
  <r>
    <n v="11018"/>
    <x v="37"/>
    <s v="Peacock, Margaret"/>
    <x v="462"/>
    <d v="1998-04-16T00:00:00"/>
    <x v="2"/>
    <x v="743"/>
    <x v="8"/>
  </r>
  <r>
    <n v="11019"/>
    <x v="74"/>
    <s v="Suyama, Michael"/>
    <x v="462"/>
    <m/>
    <x v="0"/>
    <x v="744"/>
    <x v="20"/>
  </r>
  <r>
    <n v="11020"/>
    <x v="67"/>
    <s v="Fuller, Andrew"/>
    <x v="463"/>
    <d v="1998-04-16T00:00:00"/>
    <x v="2"/>
    <x v="745"/>
    <x v="1"/>
  </r>
  <r>
    <n v="11021"/>
    <x v="21"/>
    <s v="Leverling, Janet"/>
    <x v="463"/>
    <d v="1998-04-21T00:00:00"/>
    <x v="1"/>
    <x v="746"/>
    <x v="1"/>
  </r>
  <r>
    <n v="11022"/>
    <x v="2"/>
    <s v="Dodsworth, Anne"/>
    <x v="463"/>
    <d v="1998-05-04T00:00:00"/>
    <x v="2"/>
    <x v="54"/>
    <x v="2"/>
  </r>
  <r>
    <n v="11023"/>
    <x v="32"/>
    <s v="Davolio, Nancy"/>
    <x v="463"/>
    <d v="1998-04-24T00:00:00"/>
    <x v="2"/>
    <x v="747"/>
    <x v="13"/>
  </r>
  <r>
    <n v="11024"/>
    <x v="57"/>
    <s v="Peacock, Margaret"/>
    <x v="464"/>
    <d v="1998-04-20T00:00:00"/>
    <x v="1"/>
    <x v="748"/>
    <x v="13"/>
  </r>
  <r>
    <n v="11025"/>
    <x v="16"/>
    <s v="Suyama, Michael"/>
    <x v="464"/>
    <d v="1998-04-24T00:00:00"/>
    <x v="0"/>
    <x v="749"/>
    <x v="10"/>
  </r>
  <r>
    <n v="11026"/>
    <x v="70"/>
    <s v="Peacock, Margaret"/>
    <x v="464"/>
    <d v="1998-04-28T00:00:00"/>
    <x v="1"/>
    <x v="750"/>
    <x v="11"/>
  </r>
  <r>
    <n v="11027"/>
    <x v="65"/>
    <s v="Davolio, Nancy"/>
    <x v="465"/>
    <d v="1998-04-20T00:00:00"/>
    <x v="1"/>
    <x v="751"/>
    <x v="16"/>
  </r>
  <r>
    <n v="11028"/>
    <x v="43"/>
    <s v="Fuller, Andrew"/>
    <x v="465"/>
    <d v="1998-04-22T00:00:00"/>
    <x v="1"/>
    <x v="752"/>
    <x v="1"/>
  </r>
  <r>
    <n v="11029"/>
    <x v="5"/>
    <s v="Peacock, Margaret"/>
    <x v="465"/>
    <d v="1998-04-27T00:00:00"/>
    <x v="1"/>
    <x v="753"/>
    <x v="4"/>
  </r>
  <r>
    <n v="11030"/>
    <x v="44"/>
    <s v="King, Robert"/>
    <x v="466"/>
    <d v="1998-04-27T00:00:00"/>
    <x v="2"/>
    <x v="754"/>
    <x v="8"/>
  </r>
  <r>
    <n v="11031"/>
    <x v="44"/>
    <s v="Suyama, Michael"/>
    <x v="466"/>
    <d v="1998-04-24T00:00:00"/>
    <x v="2"/>
    <x v="755"/>
    <x v="8"/>
  </r>
  <r>
    <n v="11032"/>
    <x v="19"/>
    <s v="Fuller, Andrew"/>
    <x v="466"/>
    <d v="1998-04-23T00:00:00"/>
    <x v="0"/>
    <x v="756"/>
    <x v="8"/>
  </r>
  <r>
    <n v="11033"/>
    <x v="6"/>
    <s v="King, Robert"/>
    <x v="466"/>
    <d v="1998-04-23T00:00:00"/>
    <x v="0"/>
    <x v="757"/>
    <x v="4"/>
  </r>
  <r>
    <n v="11034"/>
    <x v="11"/>
    <s v="Callahan, Laura"/>
    <x v="467"/>
    <d v="1998-04-27T00:00:00"/>
    <x v="1"/>
    <x v="758"/>
    <x v="8"/>
  </r>
  <r>
    <n v="11035"/>
    <x v="4"/>
    <s v="Fuller, Andrew"/>
    <x v="467"/>
    <d v="1998-04-24T00:00:00"/>
    <x v="2"/>
    <x v="759"/>
    <x v="3"/>
  </r>
  <r>
    <n v="11036"/>
    <x v="56"/>
    <s v="Callahan, Laura"/>
    <x v="467"/>
    <d v="1998-04-22T00:00:00"/>
    <x v="0"/>
    <x v="760"/>
    <x v="1"/>
  </r>
  <r>
    <n v="11037"/>
    <x v="36"/>
    <s v="King, Robert"/>
    <x v="468"/>
    <d v="1998-04-27T00:00:00"/>
    <x v="1"/>
    <x v="761"/>
    <x v="12"/>
  </r>
  <r>
    <n v="11038"/>
    <x v="4"/>
    <s v="Davolio, Nancy"/>
    <x v="468"/>
    <d v="1998-04-30T00:00:00"/>
    <x v="2"/>
    <x v="752"/>
    <x v="3"/>
  </r>
  <r>
    <n v="11039"/>
    <x v="66"/>
    <s v="Davolio, Nancy"/>
    <x v="468"/>
    <m/>
    <x v="2"/>
    <x v="762"/>
    <x v="5"/>
  </r>
  <r>
    <n v="11040"/>
    <x v="80"/>
    <s v="Peacock, Margaret"/>
    <x v="469"/>
    <m/>
    <x v="0"/>
    <x v="763"/>
    <x v="8"/>
  </r>
  <r>
    <n v="11041"/>
    <x v="5"/>
    <s v="Leverling, Janet"/>
    <x v="469"/>
    <d v="1998-04-28T00:00:00"/>
    <x v="2"/>
    <x v="764"/>
    <x v="4"/>
  </r>
  <r>
    <n v="11042"/>
    <x v="33"/>
    <s v="Fuller, Andrew"/>
    <x v="469"/>
    <d v="1998-05-01T00:00:00"/>
    <x v="1"/>
    <x v="765"/>
    <x v="2"/>
  </r>
  <r>
    <n v="11043"/>
    <x v="87"/>
    <s v="Buchanan, Steven"/>
    <x v="469"/>
    <d v="1998-04-29T00:00:00"/>
    <x v="2"/>
    <x v="766"/>
    <x v="0"/>
  </r>
  <r>
    <n v="11044"/>
    <x v="62"/>
    <s v="Peacock, Margaret"/>
    <x v="470"/>
    <d v="1998-05-01T00:00:00"/>
    <x v="1"/>
    <x v="767"/>
    <x v="18"/>
  </r>
  <r>
    <n v="11045"/>
    <x v="65"/>
    <s v="Suyama, Michael"/>
    <x v="470"/>
    <m/>
    <x v="2"/>
    <x v="768"/>
    <x v="16"/>
  </r>
  <r>
    <n v="11046"/>
    <x v="35"/>
    <s v="Callahan, Laura"/>
    <x v="470"/>
    <d v="1998-04-24T00:00:00"/>
    <x v="2"/>
    <x v="769"/>
    <x v="1"/>
  </r>
  <r>
    <n v="11047"/>
    <x v="57"/>
    <s v="King, Robert"/>
    <x v="471"/>
    <d v="1998-05-01T00:00:00"/>
    <x v="0"/>
    <x v="770"/>
    <x v="13"/>
  </r>
  <r>
    <n v="11048"/>
    <x v="65"/>
    <s v="King, Robert"/>
    <x v="471"/>
    <d v="1998-04-30T00:00:00"/>
    <x v="0"/>
    <x v="771"/>
    <x v="16"/>
  </r>
  <r>
    <n v="11049"/>
    <x v="71"/>
    <s v="Leverling, Janet"/>
    <x v="471"/>
    <d v="1998-05-04T00:00:00"/>
    <x v="1"/>
    <x v="772"/>
    <x v="2"/>
  </r>
  <r>
    <n v="11050"/>
    <x v="14"/>
    <s v="Callahan, Laura"/>
    <x v="472"/>
    <d v="1998-05-05T00:00:00"/>
    <x v="2"/>
    <x v="773"/>
    <x v="9"/>
  </r>
  <r>
    <n v="11051"/>
    <x v="52"/>
    <s v="King, Robert"/>
    <x v="472"/>
    <m/>
    <x v="0"/>
    <x v="774"/>
    <x v="0"/>
  </r>
  <r>
    <n v="11052"/>
    <x v="2"/>
    <s v="Leverling, Janet"/>
    <x v="472"/>
    <d v="1998-05-01T00:00:00"/>
    <x v="1"/>
    <x v="775"/>
    <x v="2"/>
  </r>
  <r>
    <n v="11053"/>
    <x v="53"/>
    <s v="Fuller, Andrew"/>
    <x v="472"/>
    <d v="1998-04-29T00:00:00"/>
    <x v="2"/>
    <x v="641"/>
    <x v="6"/>
  </r>
  <r>
    <n v="11054"/>
    <x v="79"/>
    <s v="Callahan, Laura"/>
    <x v="473"/>
    <m/>
    <x v="1"/>
    <x v="776"/>
    <x v="20"/>
  </r>
  <r>
    <n v="11055"/>
    <x v="8"/>
    <s v="King, Robert"/>
    <x v="473"/>
    <d v="1998-05-05T00:00:00"/>
    <x v="2"/>
    <x v="777"/>
    <x v="5"/>
  </r>
  <r>
    <n v="11056"/>
    <x v="57"/>
    <s v="Callahan, Laura"/>
    <x v="473"/>
    <d v="1998-05-01T00:00:00"/>
    <x v="2"/>
    <x v="778"/>
    <x v="13"/>
  </r>
  <r>
    <n v="11057"/>
    <x v="78"/>
    <s v="Leverling, Janet"/>
    <x v="474"/>
    <d v="1998-05-01T00:00:00"/>
    <x v="0"/>
    <x v="779"/>
    <x v="13"/>
  </r>
  <r>
    <n v="11058"/>
    <x v="77"/>
    <s v="Dodsworth, Anne"/>
    <x v="474"/>
    <m/>
    <x v="0"/>
    <x v="780"/>
    <x v="1"/>
  </r>
  <r>
    <n v="11059"/>
    <x v="30"/>
    <s v="Fuller, Andrew"/>
    <x v="474"/>
    <m/>
    <x v="2"/>
    <x v="781"/>
    <x v="2"/>
  </r>
  <r>
    <n v="11060"/>
    <x v="70"/>
    <s v="Fuller, Andrew"/>
    <x v="475"/>
    <d v="1998-05-04T00:00:00"/>
    <x v="2"/>
    <x v="782"/>
    <x v="11"/>
  </r>
  <r>
    <n v="11061"/>
    <x v="80"/>
    <s v="Peacock, Margaret"/>
    <x v="475"/>
    <m/>
    <x v="0"/>
    <x v="709"/>
    <x v="8"/>
  </r>
  <r>
    <n v="11062"/>
    <x v="31"/>
    <s v="Peacock, Margaret"/>
    <x v="475"/>
    <m/>
    <x v="2"/>
    <x v="783"/>
    <x v="11"/>
  </r>
  <r>
    <n v="11063"/>
    <x v="34"/>
    <s v="Leverling, Janet"/>
    <x v="475"/>
    <d v="1998-05-06T00:00:00"/>
    <x v="2"/>
    <x v="784"/>
    <x v="14"/>
  </r>
  <r>
    <n v="11064"/>
    <x v="44"/>
    <s v="Davolio, Nancy"/>
    <x v="476"/>
    <d v="1998-05-04T00:00:00"/>
    <x v="1"/>
    <x v="785"/>
    <x v="8"/>
  </r>
  <r>
    <n v="11065"/>
    <x v="29"/>
    <s v="Callahan, Laura"/>
    <x v="476"/>
    <m/>
    <x v="1"/>
    <x v="786"/>
    <x v="5"/>
  </r>
  <r>
    <n v="11066"/>
    <x v="19"/>
    <s v="King, Robert"/>
    <x v="476"/>
    <d v="1998-05-04T00:00:00"/>
    <x v="2"/>
    <x v="787"/>
    <x v="8"/>
  </r>
  <r>
    <n v="11067"/>
    <x v="56"/>
    <s v="Davolio, Nancy"/>
    <x v="477"/>
    <d v="1998-05-06T00:00:00"/>
    <x v="2"/>
    <x v="788"/>
    <x v="1"/>
  </r>
  <r>
    <n v="11068"/>
    <x v="61"/>
    <s v="Callahan, Laura"/>
    <x v="477"/>
    <m/>
    <x v="2"/>
    <x v="789"/>
    <x v="2"/>
  </r>
  <r>
    <n v="11069"/>
    <x v="24"/>
    <s v="Davolio, Nancy"/>
    <x v="477"/>
    <d v="1998-05-06T00:00:00"/>
    <x v="2"/>
    <x v="790"/>
    <x v="7"/>
  </r>
  <r>
    <n v="11070"/>
    <x v="27"/>
    <s v="Fuller, Andrew"/>
    <x v="478"/>
    <m/>
    <x v="1"/>
    <x v="791"/>
    <x v="1"/>
  </r>
  <r>
    <n v="11071"/>
    <x v="29"/>
    <s v="Davolio, Nancy"/>
    <x v="478"/>
    <m/>
    <x v="1"/>
    <x v="792"/>
    <x v="5"/>
  </r>
  <r>
    <n v="11072"/>
    <x v="9"/>
    <s v="Peacock, Margaret"/>
    <x v="478"/>
    <m/>
    <x v="2"/>
    <x v="793"/>
    <x v="6"/>
  </r>
  <r>
    <n v="11073"/>
    <x v="42"/>
    <s v="Fuller, Andrew"/>
    <x v="478"/>
    <m/>
    <x v="2"/>
    <x v="794"/>
    <x v="7"/>
  </r>
  <r>
    <n v="11074"/>
    <x v="50"/>
    <s v="King, Robert"/>
    <x v="479"/>
    <m/>
    <x v="2"/>
    <x v="795"/>
    <x v="17"/>
  </r>
  <r>
    <n v="11075"/>
    <x v="6"/>
    <s v="Callahan, Laura"/>
    <x v="479"/>
    <m/>
    <x v="2"/>
    <x v="796"/>
    <x v="4"/>
  </r>
  <r>
    <n v="11076"/>
    <x v="47"/>
    <s v="Peacock, Margaret"/>
    <x v="479"/>
    <m/>
    <x v="2"/>
    <x v="797"/>
    <x v="0"/>
  </r>
  <r>
    <n v="11077"/>
    <x v="13"/>
    <s v="Davolio, Nancy"/>
    <x v="479"/>
    <m/>
    <x v="2"/>
    <x v="798"/>
    <x v="8"/>
  </r>
  <r>
    <s v="Total"/>
    <x v="89"/>
    <m/>
    <x v="480"/>
    <m/>
    <x v="3"/>
    <x v="799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C8" firstHeaderRow="0" firstDataRow="1" firstDataCol="1"/>
  <pivotFields count="8">
    <pivotField showAll="0"/>
    <pivotField showAll="0">
      <items count="91">
        <item x="85"/>
        <item x="38"/>
        <item x="58"/>
        <item x="54"/>
        <item x="26"/>
        <item x="77"/>
        <item x="15"/>
        <item x="45"/>
        <item x="47"/>
        <item x="65"/>
        <item x="32"/>
        <item x="79"/>
        <item x="10"/>
        <item x="5"/>
        <item x="33"/>
        <item x="72"/>
        <item x="35"/>
        <item x="56"/>
        <item x="40"/>
        <item x="57"/>
        <item x="9"/>
        <item x="51"/>
        <item x="68"/>
        <item x="14"/>
        <item x="86"/>
        <item x="70"/>
        <item x="17"/>
        <item x="46"/>
        <item x="59"/>
        <item x="36"/>
        <item x="71"/>
        <item x="80"/>
        <item x="18"/>
        <item x="2"/>
        <item x="8"/>
        <item x="63"/>
        <item x="34"/>
        <item x="41"/>
        <item x="43"/>
        <item x="88"/>
        <item x="52"/>
        <item x="76"/>
        <item x="75"/>
        <item x="27"/>
        <item x="83"/>
        <item x="29"/>
        <item x="66"/>
        <item x="37"/>
        <item x="23"/>
        <item x="81"/>
        <item x="48"/>
        <item x="25"/>
        <item x="78"/>
        <item x="69"/>
        <item x="11"/>
        <item x="67"/>
        <item x="42"/>
        <item x="53"/>
        <item x="49"/>
        <item x="12"/>
        <item x="61"/>
        <item x="21"/>
        <item x="74"/>
        <item x="13"/>
        <item x="31"/>
        <item x="30"/>
        <item x="6"/>
        <item x="28"/>
        <item x="64"/>
        <item x="44"/>
        <item x="55"/>
        <item x="50"/>
        <item x="87"/>
        <item x="20"/>
        <item x="4"/>
        <item x="39"/>
        <item x="84"/>
        <item x="73"/>
        <item x="24"/>
        <item x="1"/>
        <item x="82"/>
        <item x="60"/>
        <item x="3"/>
        <item x="22"/>
        <item x="16"/>
        <item x="7"/>
        <item x="19"/>
        <item x="0"/>
        <item x="62"/>
        <item x="8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801">
        <item x="699"/>
        <item x="48"/>
        <item x="389"/>
        <item x="257"/>
        <item x="759"/>
        <item x="166"/>
        <item x="696"/>
        <item x="776"/>
        <item x="73"/>
        <item x="122"/>
        <item x="333"/>
        <item x="618"/>
        <item x="59"/>
        <item x="440"/>
        <item x="84"/>
        <item x="361"/>
        <item x="99"/>
        <item x="608"/>
        <item x="377"/>
        <item x="416"/>
        <item x="792"/>
        <item x="366"/>
        <item x="520"/>
        <item x="723"/>
        <item x="47"/>
        <item x="121"/>
        <item x="632"/>
        <item x="561"/>
        <item x="621"/>
        <item x="707"/>
        <item x="407"/>
        <item x="405"/>
        <item x="103"/>
        <item x="44"/>
        <item x="545"/>
        <item x="491"/>
        <item x="295"/>
        <item x="523"/>
        <item x="506"/>
        <item x="60"/>
        <item x="474"/>
        <item x="633"/>
        <item x="356"/>
        <item x="360"/>
        <item x="65"/>
        <item x="418"/>
        <item x="687"/>
        <item x="673"/>
        <item x="656"/>
        <item x="536"/>
        <item x="493"/>
        <item x="161"/>
        <item x="680"/>
        <item x="690"/>
        <item x="577"/>
        <item x="205"/>
        <item x="774"/>
        <item x="616"/>
        <item x="478"/>
        <item x="349"/>
        <item x="33"/>
        <item x="449"/>
        <item x="328"/>
        <item x="173"/>
        <item x="600"/>
        <item x="13"/>
        <item x="98"/>
        <item x="744"/>
        <item x="761"/>
        <item x="11"/>
        <item x="677"/>
        <item x="276"/>
        <item x="72"/>
        <item x="195"/>
        <item x="646"/>
        <item x="446"/>
        <item x="260"/>
        <item x="16"/>
        <item x="163"/>
        <item x="125"/>
        <item x="419"/>
        <item x="190"/>
        <item x="779"/>
        <item x="222"/>
        <item x="719"/>
        <item x="297"/>
        <item x="547"/>
        <item x="183"/>
        <item x="424"/>
        <item x="226"/>
        <item x="336"/>
        <item x="531"/>
        <item x="23"/>
        <item x="21"/>
        <item x="740"/>
        <item x="243"/>
        <item x="69"/>
        <item x="445"/>
        <item x="228"/>
        <item x="285"/>
        <item x="74"/>
        <item x="218"/>
        <item x="451"/>
        <item x="256"/>
        <item x="341"/>
        <item x="237"/>
        <item x="509"/>
        <item x="129"/>
        <item x="142"/>
        <item x="620"/>
        <item x="49"/>
        <item x="26"/>
        <item x="213"/>
        <item x="796"/>
        <item x="394"/>
        <item x="54"/>
        <item x="43"/>
        <item x="315"/>
        <item x="516"/>
        <item x="233"/>
        <item x="559"/>
        <item x="563"/>
        <item x="253"/>
        <item x="397"/>
        <item x="312"/>
        <item x="201"/>
        <item x="330"/>
        <item x="40"/>
        <item x="351"/>
        <item x="231"/>
        <item x="58"/>
        <item x="492"/>
        <item x="477"/>
        <item x="176"/>
        <item x="788"/>
        <item x="132"/>
        <item x="306"/>
        <item x="359"/>
        <item x="207"/>
        <item x="496"/>
        <item x="189"/>
        <item x="648"/>
        <item x="772"/>
        <item x="614"/>
        <item x="798"/>
        <item x="85"/>
        <item x="100"/>
        <item x="767"/>
        <item x="766"/>
        <item x="720"/>
        <item x="249"/>
        <item x="32"/>
        <item x="639"/>
        <item x="186"/>
        <item x="580"/>
        <item x="196"/>
        <item x="461"/>
        <item x="303"/>
        <item x="117"/>
        <item x="82"/>
        <item x="675"/>
        <item x="241"/>
        <item x="466"/>
        <item x="289"/>
        <item x="481"/>
        <item x="782"/>
        <item x="273"/>
        <item x="479"/>
        <item x="179"/>
        <item x="510"/>
        <item x="159"/>
        <item x="208"/>
        <item x="1"/>
        <item x="743"/>
        <item x="292"/>
        <item x="217"/>
        <item x="498"/>
        <item x="605"/>
        <item x="286"/>
        <item x="390"/>
        <item x="152"/>
        <item x="34"/>
        <item x="81"/>
        <item x="39"/>
        <item x="786"/>
        <item x="701"/>
        <item x="227"/>
        <item x="574"/>
        <item x="268"/>
        <item x="332"/>
        <item x="430"/>
        <item x="118"/>
        <item x="661"/>
        <item x="637"/>
        <item x="326"/>
        <item x="311"/>
        <item x="28"/>
        <item x="194"/>
        <item x="8"/>
        <item x="137"/>
        <item x="709"/>
        <item x="393"/>
        <item x="552"/>
        <item x="197"/>
        <item x="214"/>
        <item x="730"/>
        <item x="597"/>
        <item x="700"/>
        <item x="232"/>
        <item x="87"/>
        <item x="660"/>
        <item x="282"/>
        <item x="90"/>
        <item x="790"/>
        <item x="431"/>
        <item x="697"/>
        <item x="211"/>
        <item x="343"/>
        <item x="223"/>
        <item x="467"/>
        <item x="494"/>
        <item x="436"/>
        <item x="251"/>
        <item x="529"/>
        <item x="239"/>
        <item x="472"/>
        <item x="269"/>
        <item x="62"/>
        <item x="169"/>
        <item x="52"/>
        <item x="185"/>
        <item x="672"/>
        <item x="795"/>
        <item x="363"/>
        <item x="323"/>
        <item x="500"/>
        <item x="177"/>
        <item x="763"/>
        <item x="596"/>
        <item x="609"/>
        <item x="109"/>
        <item x="556"/>
        <item x="670"/>
        <item x="658"/>
        <item x="650"/>
        <item x="188"/>
        <item x="126"/>
        <item x="514"/>
        <item x="725"/>
        <item x="625"/>
        <item x="127"/>
        <item x="396"/>
        <item x="45"/>
        <item x="254"/>
        <item x="165"/>
        <item x="532"/>
        <item x="464"/>
        <item x="448"/>
        <item x="116"/>
        <item x="544"/>
        <item x="128"/>
        <item x="457"/>
        <item x="167"/>
        <item x="415"/>
        <item x="41"/>
        <item x="309"/>
        <item x="6"/>
        <item x="617"/>
        <item x="95"/>
        <item x="678"/>
        <item x="385"/>
        <item x="739"/>
        <item x="162"/>
        <item x="483"/>
        <item x="367"/>
        <item x="530"/>
        <item x="443"/>
        <item x="771"/>
        <item x="412"/>
        <item x="455"/>
        <item x="174"/>
        <item x="63"/>
        <item x="291"/>
        <item x="794"/>
        <item x="210"/>
        <item x="732"/>
        <item x="581"/>
        <item x="204"/>
        <item x="324"/>
        <item x="18"/>
        <item x="31"/>
        <item x="318"/>
        <item x="638"/>
        <item x="408"/>
        <item x="534"/>
        <item x="421"/>
        <item x="92"/>
        <item x="27"/>
        <item x="693"/>
        <item x="676"/>
        <item x="542"/>
        <item x="150"/>
        <item x="329"/>
        <item x="355"/>
        <item x="683"/>
        <item x="281"/>
        <item x="528"/>
        <item x="736"/>
        <item x="749"/>
        <item x="388"/>
        <item x="752"/>
        <item x="325"/>
        <item x="651"/>
        <item x="246"/>
        <item x="51"/>
        <item x="571"/>
        <item x="160"/>
        <item x="783"/>
        <item x="346"/>
        <item x="765"/>
        <item x="785"/>
        <item x="599"/>
        <item x="145"/>
        <item x="374"/>
        <item x="235"/>
        <item x="114"/>
        <item x="537"/>
        <item x="681"/>
        <item x="136"/>
        <item x="780"/>
        <item x="548"/>
        <item x="178"/>
        <item x="485"/>
        <item x="667"/>
        <item x="417"/>
        <item x="668"/>
        <item x="664"/>
        <item x="265"/>
        <item x="339"/>
        <item x="702"/>
        <item x="376"/>
        <item x="610"/>
        <item x="0"/>
        <item x="630"/>
        <item x="624"/>
        <item x="705"/>
        <item x="640"/>
        <item x="738"/>
        <item x="645"/>
        <item x="535"/>
        <item x="666"/>
        <item x="426"/>
        <item x="741"/>
        <item x="659"/>
        <item x="314"/>
        <item x="134"/>
        <item x="71"/>
        <item x="716"/>
        <item x="156"/>
        <item x="139"/>
        <item x="108"/>
        <item x="131"/>
        <item x="344"/>
        <item x="576"/>
        <item x="423"/>
        <item x="245"/>
        <item x="307"/>
        <item x="558"/>
        <item x="107"/>
        <item x="502"/>
        <item x="557"/>
        <item x="321"/>
        <item x="703"/>
        <item x="612"/>
        <item x="642"/>
        <item x="643"/>
        <item x="585"/>
        <item x="797"/>
        <item x="718"/>
        <item x="384"/>
        <item x="199"/>
        <item x="657"/>
        <item x="64"/>
        <item x="758"/>
        <item x="682"/>
        <item x="3"/>
        <item x="378"/>
        <item x="67"/>
        <item x="387"/>
        <item x="275"/>
        <item x="106"/>
        <item x="86"/>
        <item x="518"/>
        <item x="248"/>
        <item x="526"/>
        <item x="504"/>
        <item x="569"/>
        <item x="745"/>
        <item x="371"/>
        <item x="476"/>
        <item x="171"/>
        <item x="635"/>
        <item x="182"/>
        <item x="345"/>
        <item x="684"/>
        <item x="787"/>
        <item x="337"/>
        <item x="731"/>
        <item x="130"/>
        <item x="53"/>
        <item x="347"/>
        <item x="270"/>
        <item x="438"/>
        <item x="546"/>
        <item x="392"/>
        <item x="221"/>
        <item x="475"/>
        <item x="722"/>
        <item x="770"/>
        <item x="613"/>
        <item x="244"/>
        <item x="750"/>
        <item x="411"/>
        <item x="61"/>
        <item x="550"/>
        <item x="140"/>
        <item x="255"/>
        <item x="381"/>
        <item x="665"/>
        <item x="753"/>
        <item x="193"/>
        <item x="290"/>
        <item x="513"/>
        <item x="764"/>
        <item x="14"/>
        <item x="350"/>
        <item x="649"/>
        <item x="462"/>
        <item x="586"/>
        <item x="686"/>
        <item x="368"/>
        <item x="4"/>
        <item x="460"/>
        <item x="622"/>
        <item x="452"/>
        <item x="594"/>
        <item x="751"/>
        <item x="83"/>
        <item x="674"/>
        <item x="641"/>
        <item x="598"/>
        <item x="200"/>
        <item x="105"/>
        <item x="589"/>
        <item x="663"/>
        <item x="579"/>
        <item x="93"/>
        <item x="12"/>
        <item x="727"/>
        <item x="541"/>
        <item x="399"/>
        <item x="17"/>
        <item x="338"/>
        <item x="583"/>
        <item x="180"/>
        <item x="400"/>
        <item x="465"/>
        <item x="517"/>
        <item x="5"/>
        <item x="348"/>
        <item x="469"/>
        <item x="592"/>
        <item x="274"/>
        <item x="283"/>
        <item x="316"/>
        <item x="735"/>
        <item x="252"/>
        <item x="331"/>
        <item x="458"/>
        <item x="575"/>
        <item x="773"/>
        <item x="549"/>
        <item x="219"/>
        <item x="148"/>
        <item x="611"/>
        <item x="310"/>
        <item x="433"/>
        <item x="715"/>
        <item x="488"/>
        <item x="634"/>
        <item x="694"/>
        <item x="334"/>
        <item x="653"/>
        <item x="264"/>
        <item x="240"/>
        <item x="456"/>
        <item x="78"/>
        <item x="564"/>
        <item x="647"/>
        <item x="56"/>
        <item x="101"/>
        <item x="230"/>
        <item x="234"/>
        <item x="70"/>
        <item x="220"/>
        <item x="76"/>
        <item x="762"/>
        <item x="508"/>
        <item x="441"/>
        <item x="555"/>
        <item x="721"/>
        <item x="2"/>
        <item x="242"/>
        <item x="20"/>
        <item x="277"/>
        <item x="775"/>
        <item x="153"/>
        <item x="654"/>
        <item x="225"/>
        <item x="288"/>
        <item x="198"/>
        <item x="484"/>
        <item x="250"/>
        <item x="572"/>
        <item x="522"/>
        <item x="168"/>
        <item x="768"/>
        <item x="236"/>
        <item x="570"/>
        <item x="769"/>
        <item x="115"/>
        <item x="568"/>
        <item x="298"/>
        <item x="305"/>
        <item x="192"/>
        <item x="519"/>
        <item x="495"/>
        <item x="154"/>
        <item x="184"/>
        <item x="724"/>
        <item x="66"/>
        <item x="748"/>
        <item x="679"/>
        <item x="279"/>
        <item x="463"/>
        <item x="695"/>
        <item x="327"/>
        <item x="25"/>
        <item x="595"/>
        <item x="422"/>
        <item x="669"/>
        <item x="36"/>
        <item x="37"/>
        <item x="271"/>
        <item x="627"/>
        <item x="77"/>
        <item x="410"/>
        <item x="284"/>
        <item x="562"/>
        <item x="489"/>
        <item x="353"/>
        <item x="734"/>
        <item x="42"/>
        <item x="357"/>
        <item x="784"/>
        <item x="789"/>
        <item x="567"/>
        <item x="480"/>
        <item x="9"/>
        <item x="299"/>
        <item x="224"/>
        <item x="151"/>
        <item x="89"/>
        <item x="757"/>
        <item x="35"/>
        <item x="320"/>
        <item x="375"/>
        <item x="781"/>
        <item x="191"/>
        <item x="79"/>
        <item x="691"/>
        <item x="615"/>
        <item x="313"/>
        <item x="215"/>
        <item x="149"/>
        <item x="468"/>
        <item x="453"/>
        <item x="565"/>
        <item x="619"/>
        <item x="365"/>
        <item x="511"/>
        <item x="158"/>
        <item x="712"/>
        <item x="267"/>
        <item x="30"/>
        <item x="398"/>
        <item x="138"/>
        <item x="133"/>
        <item x="370"/>
        <item x="164"/>
        <item x="414"/>
        <item x="113"/>
        <item x="726"/>
        <item x="512"/>
        <item x="427"/>
        <item x="471"/>
        <item x="304"/>
        <item x="342"/>
        <item x="539"/>
        <item x="369"/>
        <item x="24"/>
        <item x="172"/>
        <item x="590"/>
        <item x="527"/>
        <item x="119"/>
        <item x="247"/>
        <item x="437"/>
        <item x="688"/>
        <item x="685"/>
        <item x="261"/>
        <item x="403"/>
        <item x="373"/>
        <item x="55"/>
        <item x="157"/>
        <item x="88"/>
        <item x="602"/>
        <item x="473"/>
        <item x="94"/>
        <item x="524"/>
        <item x="404"/>
        <item x="606"/>
        <item x="406"/>
        <item x="628"/>
        <item x="319"/>
        <item x="362"/>
        <item x="486"/>
        <item x="717"/>
        <item x="626"/>
        <item x="777"/>
        <item x="301"/>
        <item x="698"/>
        <item x="143"/>
        <item x="747"/>
        <item x="124"/>
        <item x="521"/>
        <item x="29"/>
        <item x="141"/>
        <item x="144"/>
        <item x="533"/>
        <item x="322"/>
        <item x="490"/>
        <item x="551"/>
        <item x="111"/>
        <item x="662"/>
        <item x="147"/>
        <item x="447"/>
        <item x="791"/>
        <item x="22"/>
        <item x="170"/>
        <item x="538"/>
        <item x="497"/>
        <item x="372"/>
        <item x="434"/>
        <item x="203"/>
        <item x="10"/>
        <item x="470"/>
        <item x="729"/>
        <item x="97"/>
        <item x="391"/>
        <item x="604"/>
        <item x="692"/>
        <item x="216"/>
        <item x="503"/>
        <item x="425"/>
        <item x="15"/>
        <item x="507"/>
        <item x="209"/>
        <item x="46"/>
        <item x="7"/>
        <item x="212"/>
        <item x="760"/>
        <item x="300"/>
        <item x="68"/>
        <item x="655"/>
        <item x="444"/>
        <item x="364"/>
        <item x="566"/>
        <item x="499"/>
        <item x="155"/>
        <item x="187"/>
        <item x="505"/>
        <item x="383"/>
        <item x="587"/>
        <item x="102"/>
        <item x="629"/>
        <item x="636"/>
        <item x="560"/>
        <item x="91"/>
        <item x="454"/>
        <item x="50"/>
        <item x="135"/>
        <item x="459"/>
        <item x="591"/>
        <item x="296"/>
        <item x="588"/>
        <item x="340"/>
        <item x="607"/>
        <item x="652"/>
        <item x="395"/>
        <item x="294"/>
        <item x="386"/>
        <item x="206"/>
        <item x="112"/>
        <item x="146"/>
        <item x="714"/>
        <item x="280"/>
        <item x="593"/>
        <item x="317"/>
        <item x="202"/>
        <item x="603"/>
        <item x="80"/>
        <item x="708"/>
        <item x="335"/>
        <item x="293"/>
        <item x="120"/>
        <item x="728"/>
        <item x="354"/>
        <item x="382"/>
        <item x="733"/>
        <item x="413"/>
        <item x="263"/>
        <item x="704"/>
        <item x="19"/>
        <item x="238"/>
        <item x="450"/>
        <item x="711"/>
        <item x="582"/>
        <item x="75"/>
        <item x="713"/>
        <item x="266"/>
        <item x="442"/>
        <item x="755"/>
        <item x="38"/>
        <item x="409"/>
        <item x="487"/>
        <item x="543"/>
        <item x="308"/>
        <item x="737"/>
        <item x="482"/>
        <item x="272"/>
        <item x="96"/>
        <item x="525"/>
        <item x="302"/>
        <item x="540"/>
        <item x="57"/>
        <item x="793"/>
        <item x="439"/>
        <item x="689"/>
        <item x="778"/>
        <item x="623"/>
        <item x="110"/>
        <item x="428"/>
        <item x="746"/>
        <item x="429"/>
        <item x="554"/>
        <item x="501"/>
        <item x="278"/>
        <item x="601"/>
        <item x="259"/>
        <item x="515"/>
        <item x="401"/>
        <item x="706"/>
        <item x="104"/>
        <item x="402"/>
        <item x="258"/>
        <item x="175"/>
        <item x="352"/>
        <item x="420"/>
        <item x="435"/>
        <item x="671"/>
        <item x="573"/>
        <item x="578"/>
        <item x="181"/>
        <item x="379"/>
        <item x="380"/>
        <item x="584"/>
        <item x="358"/>
        <item x="644"/>
        <item x="631"/>
        <item x="756"/>
        <item x="710"/>
        <item x="229"/>
        <item x="553"/>
        <item x="742"/>
        <item x="262"/>
        <item x="432"/>
        <item x="754"/>
        <item x="123"/>
        <item x="287"/>
        <item x="799"/>
        <item t="default"/>
      </items>
    </pivotField>
    <pivotField showAll="0">
      <items count="23">
        <item x="21"/>
        <item x="20"/>
        <item x="6"/>
        <item x="3"/>
        <item x="2"/>
        <item x="16"/>
        <item x="17"/>
        <item x="10"/>
        <item x="0"/>
        <item x="1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eight" fld="6" baseField="0" baseItem="0"/>
    <dataField name="Average of Freight2" fld="6" subtotal="average" baseField="5" baseItem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5" createdVersion="7" useAutoFormatting="1" indent="0" outline="1" outlineData="1" showDrill="1" multipleFieldFilters="0" chartFormat="8">
  <location ref="B3:C25" firstHeaderRow="1" firstDataRow="1" firstDataCol="1" rowPageCount="1" colPageCount="1"/>
  <pivotFields count="8">
    <pivotField showAll="0"/>
    <pivotField showAll="0"/>
    <pivotField showAll="0"/>
    <pivotField axis="axisPage" numFmtId="58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>
      <items count="389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3"/>
        <item x="291"/>
        <item x="295"/>
        <item x="282"/>
        <item x="300"/>
        <item x="301"/>
        <item x="297"/>
        <item x="299"/>
        <item x="294"/>
        <item x="303"/>
        <item x="304"/>
        <item x="292"/>
        <item x="307"/>
        <item x="308"/>
        <item x="309"/>
        <item x="305"/>
        <item x="310"/>
        <item x="312"/>
        <item x="314"/>
        <item x="298"/>
        <item x="316"/>
        <item x="315"/>
        <item x="302"/>
        <item x="306"/>
        <item x="296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81"/>
        <item x="367"/>
        <item x="364"/>
        <item x="382"/>
        <item x="380"/>
        <item x="385"/>
        <item x="383"/>
        <item x="384"/>
        <item x="379"/>
        <item x="386"/>
        <item x="387"/>
        <item x="378"/>
        <item t="default"/>
      </items>
    </pivotField>
    <pivotField showAll="0">
      <items count="4">
        <item h="1" x="0"/>
        <item x="1"/>
        <item h="1" x="2"/>
        <item t="default"/>
      </items>
    </pivotField>
    <pivotField dataField="1" numFmtId="44" showAll="0"/>
    <pivotField axis="axisRow" showAll="0">
      <items count="22">
        <item x="20"/>
        <item x="6"/>
        <item x="3"/>
        <item x="2"/>
        <item x="16"/>
        <item x="17"/>
        <item x="10"/>
        <item x="0"/>
        <item x="1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3"/>
  </pageFields>
  <dataFields count="1">
    <dataField name="Total Freight" fld="6" baseField="5" baseItem="0" numFmtId="178"/>
  </dataFields>
  <pivotTableStyleInfo name="PivotStyleLight16" showRowHeaders="1" showColHeaders="1" showLastColumn="1"/>
  <filters count="1">
    <filter evalOrder="-1" fld="4" id="52" type="dateBetween">
      <autoFilter ref="A1">
        <filterColumn colId="0">
          <customFilters and="1">
            <customFilter operator="greaterThanOrEqual" val="35065"/>
            <customFilter operator="lessThanOrEqual" val="361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p_Via" sourceName="Ship Via">
  <pivotTables>
    <pivotTable tabId="18" name="PivotTable2"/>
  </pivotTables>
  <data>
    <tabular pivotCacheId="1">
      <items count="3">
        <i x="0" s="0"/>
        <i x="1" s="1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hip Via" cache="Slicer_Ship_Via" caption="Ship Via" rowHeight="234950"/>
</slicers>
</file>

<file path=xl/tables/table1.xml><?xml version="1.0" encoding="utf-8"?>
<table xmlns="http://schemas.openxmlformats.org/spreadsheetml/2006/main" id="10" name="Table10" displayName="Table10" ref="A10:I88" totalsRowCount="1">
  <autoFilter xmlns:etc="http://www.wps.cn/officeDocument/2017/etCustomData" ref="A10:I87" etc:filterBottomFollowUsedRange="0"/>
  <tableColumns count="9">
    <tableColumn id="1" name="Product ID"/>
    <tableColumn id="2" name="Product Name"/>
    <tableColumn id="3" name="Supplier"/>
    <tableColumn id="4" name="Category"/>
    <tableColumn id="5" name="Unit Price"/>
    <tableColumn id="6" name="Units In Stock" totalsRowFunction="sum"/>
    <tableColumn id="7" name="Units On Order" totalsRowFunction="average"/>
    <tableColumn id="8" name="Reorder Level"/>
    <tableColumn id="9" name="Discontinued" totalsRowFunction="cou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Products" displayName="Products" ref="A8:I85" totalsRowShown="0">
  <autoFilter xmlns:etc="http://www.wps.cn/officeDocument/2017/etCustomData" ref="A8:I85" etc:filterBottomFollowUsedRange="0"/>
  <sortState ref="A8:I85">
    <sortCondition ref="D9:D85"/>
  </sortState>
  <tableColumns count="9">
    <tableColumn id="1" name="Product ID"/>
    <tableColumn id="2" name="Product Name"/>
    <tableColumn id="3" name="Supplier"/>
    <tableColumn id="4" name="Category"/>
    <tableColumn id="6" name="Unit Price"/>
    <tableColumn id="7" name="Units In Stock"/>
    <tableColumn id="8" name="Units On Order"/>
    <tableColumn id="9" name="Reorder Level"/>
    <tableColumn id="10" name="Discontinue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1" name="Products2" displayName="Products2" ref="A8:I85" totalsRowShown="0">
  <autoFilter xmlns:etc="http://www.wps.cn/officeDocument/2017/etCustomData" ref="A8:I85" etc:filterBottomFollowUsedRange="0"/>
  <sortState ref="A8:I85">
    <sortCondition ref="I9:I85"/>
    <sortCondition ref="D9:D85"/>
    <sortCondition ref="C9:C85"/>
  </sortState>
  <tableColumns count="9">
    <tableColumn id="1" name="Product ID"/>
    <tableColumn id="2" name="Product Name"/>
    <tableColumn id="3" name="Supplier"/>
    <tableColumn id="4" name="Category"/>
    <tableColumn id="6" name="Unit Price"/>
    <tableColumn id="7" name="Units In Stock"/>
    <tableColumn id="8" name="Units On Order"/>
    <tableColumn id="9" name="Reorder Level"/>
    <tableColumn id="10" name="Discontinue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5" name="Table3" displayName="Table3" ref="A13:I843" totalsRowShown="0">
  <autoFilter xmlns:etc="http://www.wps.cn/officeDocument/2017/etCustomData" ref="A13:I843" etc:filterBottomFollowUsedRange="0"/>
  <sortState ref="A13:I843">
    <sortCondition ref="F14:F843" customList="United Package,Federal shipping,Speedy Express"/>
  </sortState>
  <tableColumns count="9">
    <tableColumn id="1" name="Order ID"/>
    <tableColumn id="2" name="Customer"/>
    <tableColumn id="4" name="Order Date" dataDxfId="0"/>
    <tableColumn id="5" name="Required Date" dataDxfId="1"/>
    <tableColumn id="6" name="Shipped Date" dataDxfId="2"/>
    <tableColumn id="7" name="Ship Via"/>
    <tableColumn id="8" name="Freight"/>
    <tableColumn id="9" name="Ship Name"/>
    <tableColumn id="14" name="Ship Country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3" name="Products4" displayName="Products4" ref="A9:I86" totalsRowShown="0">
  <autoFilter xmlns:etc="http://www.wps.cn/officeDocument/2017/etCustomData" ref="A9:I86" etc:filterBottomFollowUsedRange="0">
    <filterColumn colId="3">
      <customFilters>
        <customFilter operator="equal" val="Dairy Products"/>
      </customFilters>
    </filterColumn>
    <filterColumn colId="5">
      <customFilters>
        <customFilter operator="greaterThan" val="0"/>
      </customFilters>
    </filterColumn>
  </autoFilter>
  <tableColumns count="9">
    <tableColumn id="1" name="Product ID"/>
    <tableColumn id="2" name="Product Name"/>
    <tableColumn id="3" name="Supplier"/>
    <tableColumn id="4" name="Category"/>
    <tableColumn id="6" name="Unit Price"/>
    <tableColumn id="7" name="Units In Stock"/>
    <tableColumn id="8" name="Units On Order"/>
    <tableColumn id="9" name="Reorder Level"/>
    <tableColumn id="10" name="Discontinued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8" name="Table4" displayName="Table4" ref="A10:M28" totalsRowShown="0">
  <autoFilter xmlns:etc="http://www.wps.cn/officeDocument/2017/etCustomData" ref="A10:M28" etc:filterBottomFollowUsedRange="0"/>
  <tableColumns count="13">
    <tableColumn id="1" name="Employee ID" dataDxfId="3"/>
    <tableColumn id="2" name="Last Name" dataDxfId="4"/>
    <tableColumn id="3" name="First Name" dataDxfId="5"/>
    <tableColumn id="4" name="Title" dataDxfId="6"/>
    <tableColumn id="5" name="Title Of Courtesy" dataDxfId="7"/>
    <tableColumn id="6" name="Birth Date" dataDxfId="8"/>
    <tableColumn id="7" name="Hire Date" dataDxfId="9"/>
    <tableColumn id="8" name="Address" dataDxfId="10"/>
    <tableColumn id="9" name="City" dataDxfId="11"/>
    <tableColumn id="10" name="Region" dataDxfId="12"/>
    <tableColumn id="11" name="Postal Code" dataDxfId="13"/>
    <tableColumn id="12" name="Country" dataDxfId="14"/>
    <tableColumn id="13" name="Home Ph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workbookViewId="0">
      <selection activeCell="B2" sqref="B2"/>
    </sheetView>
  </sheetViews>
  <sheetFormatPr defaultColWidth="9" defaultRowHeight="14.4"/>
  <cols>
    <col min="1" max="1" width="12.1111111111111" customWidth="1"/>
    <col min="2" max="2" width="29.5555555555556" customWidth="1"/>
    <col min="3" max="3" width="34.5555555555556" customWidth="1"/>
    <col min="4" max="4" width="16.8888888888889" customWidth="1"/>
    <col min="5" max="5" width="11.3333333333333" customWidth="1"/>
    <col min="6" max="6" width="14.6666666666667" customWidth="1"/>
    <col min="7" max="7" width="15.6666666666667" customWidth="1"/>
    <col min="8" max="8" width="14.6666666666667" customWidth="1"/>
    <col min="9" max="9" width="16.8888888888889" customWidth="1"/>
  </cols>
  <sheetData>
    <row r="1" ht="23.4" spans="1:9">
      <c r="B1" s="16" t="s">
        <v>0</v>
      </c>
      <c r="C1" s="16"/>
      <c r="D1" s="16"/>
      <c r="E1" s="16"/>
      <c r="F1" s="16"/>
      <c r="G1" s="16"/>
      <c r="H1" s="16"/>
    </row>
    <row r="10" spans="1:9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</row>
    <row r="11" spans="1:9">
      <c r="A11">
        <v>1</v>
      </c>
      <c r="B11" t="s">
        <v>10</v>
      </c>
      <c r="C11" t="s">
        <v>11</v>
      </c>
      <c r="D11" t="s">
        <v>12</v>
      </c>
      <c r="E11">
        <v>18</v>
      </c>
      <c r="F11">
        <v>39</v>
      </c>
      <c r="G11">
        <v>0</v>
      </c>
      <c r="H11">
        <v>10</v>
      </c>
      <c r="I11" t="b">
        <v>0</v>
      </c>
    </row>
    <row r="12" spans="1:9">
      <c r="A12">
        <v>2</v>
      </c>
      <c r="B12" t="s">
        <v>13</v>
      </c>
      <c r="C12" t="s">
        <v>11</v>
      </c>
      <c r="D12" t="s">
        <v>12</v>
      </c>
      <c r="E12">
        <v>19</v>
      </c>
      <c r="F12">
        <v>17</v>
      </c>
      <c r="G12">
        <v>40</v>
      </c>
      <c r="H12">
        <v>25</v>
      </c>
      <c r="I12" t="b">
        <v>0</v>
      </c>
    </row>
    <row r="13" spans="1:9">
      <c r="A13">
        <v>3</v>
      </c>
      <c r="B13" t="s">
        <v>14</v>
      </c>
      <c r="C13" t="s">
        <v>11</v>
      </c>
      <c r="D13" t="s">
        <v>15</v>
      </c>
      <c r="E13">
        <v>10</v>
      </c>
      <c r="F13">
        <v>13</v>
      </c>
      <c r="G13">
        <v>70</v>
      </c>
      <c r="H13">
        <v>25</v>
      </c>
      <c r="I13" t="b">
        <v>0</v>
      </c>
    </row>
    <row r="14" spans="1:9">
      <c r="A14">
        <v>4</v>
      </c>
      <c r="B14" t="s">
        <v>16</v>
      </c>
      <c r="C14" t="s">
        <v>17</v>
      </c>
      <c r="D14" t="s">
        <v>15</v>
      </c>
      <c r="E14">
        <v>22</v>
      </c>
      <c r="F14">
        <v>53</v>
      </c>
      <c r="G14">
        <v>0</v>
      </c>
      <c r="H14">
        <v>0</v>
      </c>
      <c r="I14" t="b">
        <v>0</v>
      </c>
    </row>
    <row r="15" spans="1:9">
      <c r="A15">
        <v>5</v>
      </c>
      <c r="B15" t="s">
        <v>18</v>
      </c>
      <c r="C15" t="s">
        <v>17</v>
      </c>
      <c r="D15" t="s">
        <v>15</v>
      </c>
      <c r="E15">
        <v>21.35</v>
      </c>
      <c r="F15">
        <v>0</v>
      </c>
      <c r="G15">
        <v>0</v>
      </c>
      <c r="H15">
        <v>0</v>
      </c>
      <c r="I15" t="b">
        <v>1</v>
      </c>
    </row>
    <row r="16" spans="1:9">
      <c r="A16">
        <v>6</v>
      </c>
      <c r="B16" t="s">
        <v>19</v>
      </c>
      <c r="C16" t="s">
        <v>20</v>
      </c>
      <c r="D16" t="s">
        <v>15</v>
      </c>
      <c r="E16">
        <v>25</v>
      </c>
      <c r="F16">
        <v>120</v>
      </c>
      <c r="G16">
        <v>0</v>
      </c>
      <c r="H16">
        <v>25</v>
      </c>
      <c r="I16" t="b">
        <v>0</v>
      </c>
    </row>
    <row r="17" spans="1:9">
      <c r="A17">
        <v>7</v>
      </c>
      <c r="B17" t="s">
        <v>21</v>
      </c>
      <c r="C17" t="s">
        <v>20</v>
      </c>
      <c r="D17" t="s">
        <v>22</v>
      </c>
      <c r="E17">
        <v>30</v>
      </c>
      <c r="F17">
        <v>15</v>
      </c>
      <c r="G17">
        <v>0</v>
      </c>
      <c r="H17">
        <v>10</v>
      </c>
      <c r="I17" t="b">
        <v>0</v>
      </c>
    </row>
    <row r="18" spans="1:9">
      <c r="A18">
        <v>8</v>
      </c>
      <c r="B18" t="s">
        <v>23</v>
      </c>
      <c r="C18" t="s">
        <v>20</v>
      </c>
      <c r="D18" t="s">
        <v>15</v>
      </c>
      <c r="E18">
        <v>40</v>
      </c>
      <c r="F18">
        <v>6</v>
      </c>
      <c r="G18">
        <v>0</v>
      </c>
      <c r="H18">
        <v>0</v>
      </c>
      <c r="I18" t="b">
        <v>0</v>
      </c>
    </row>
    <row r="19" spans="1:9">
      <c r="A19">
        <v>9</v>
      </c>
      <c r="B19" t="s">
        <v>24</v>
      </c>
      <c r="C19" t="s">
        <v>25</v>
      </c>
      <c r="D19" t="s">
        <v>26</v>
      </c>
      <c r="E19">
        <v>97</v>
      </c>
      <c r="F19">
        <v>29</v>
      </c>
      <c r="G19">
        <v>0</v>
      </c>
      <c r="H19">
        <v>0</v>
      </c>
      <c r="I19" t="b">
        <v>1</v>
      </c>
    </row>
    <row r="20" spans="1:9">
      <c r="A20">
        <v>10</v>
      </c>
      <c r="B20" t="s">
        <v>27</v>
      </c>
      <c r="C20" t="s">
        <v>25</v>
      </c>
      <c r="D20" t="s">
        <v>28</v>
      </c>
      <c r="E20">
        <v>31</v>
      </c>
      <c r="F20">
        <v>31</v>
      </c>
      <c r="G20">
        <v>0</v>
      </c>
      <c r="H20">
        <v>0</v>
      </c>
      <c r="I20" t="b">
        <v>0</v>
      </c>
    </row>
    <row r="21" spans="1:9">
      <c r="A21">
        <v>11</v>
      </c>
      <c r="B21" t="s">
        <v>29</v>
      </c>
      <c r="C21" t="s">
        <v>30</v>
      </c>
      <c r="D21" t="s">
        <v>31</v>
      </c>
      <c r="E21">
        <v>21</v>
      </c>
      <c r="F21">
        <v>22</v>
      </c>
      <c r="G21">
        <v>30</v>
      </c>
      <c r="H21">
        <v>30</v>
      </c>
      <c r="I21" t="b">
        <v>0</v>
      </c>
    </row>
    <row r="22" spans="1:9">
      <c r="A22">
        <v>12</v>
      </c>
      <c r="B22" t="s">
        <v>32</v>
      </c>
      <c r="C22" t="s">
        <v>30</v>
      </c>
      <c r="D22" t="s">
        <v>31</v>
      </c>
      <c r="E22">
        <v>38</v>
      </c>
      <c r="F22">
        <v>86</v>
      </c>
      <c r="G22">
        <v>0</v>
      </c>
      <c r="H22">
        <v>0</v>
      </c>
      <c r="I22" t="b">
        <v>0</v>
      </c>
    </row>
    <row r="23" spans="1:9">
      <c r="A23">
        <v>13</v>
      </c>
      <c r="B23" t="s">
        <v>33</v>
      </c>
      <c r="C23" t="s">
        <v>34</v>
      </c>
      <c r="D23" t="s">
        <v>28</v>
      </c>
      <c r="E23">
        <v>6</v>
      </c>
      <c r="F23">
        <v>24</v>
      </c>
      <c r="G23">
        <v>0</v>
      </c>
      <c r="H23">
        <v>5</v>
      </c>
      <c r="I23" t="b">
        <v>0</v>
      </c>
    </row>
    <row r="24" spans="1:9">
      <c r="A24">
        <v>14</v>
      </c>
      <c r="B24" t="s">
        <v>35</v>
      </c>
      <c r="C24" t="s">
        <v>34</v>
      </c>
      <c r="D24" t="s">
        <v>22</v>
      </c>
      <c r="E24">
        <v>23.25</v>
      </c>
      <c r="F24">
        <v>35</v>
      </c>
      <c r="G24">
        <v>0</v>
      </c>
      <c r="H24">
        <v>0</v>
      </c>
      <c r="I24" t="b">
        <v>0</v>
      </c>
    </row>
    <row r="25" spans="1:9">
      <c r="A25">
        <v>15</v>
      </c>
      <c r="B25" t="s">
        <v>36</v>
      </c>
      <c r="C25" t="s">
        <v>34</v>
      </c>
      <c r="D25" t="s">
        <v>15</v>
      </c>
      <c r="E25">
        <v>15.5</v>
      </c>
      <c r="F25">
        <v>39</v>
      </c>
      <c r="G25">
        <v>0</v>
      </c>
      <c r="H25">
        <v>5</v>
      </c>
      <c r="I25" t="b">
        <v>0</v>
      </c>
    </row>
    <row r="26" spans="1:9">
      <c r="A26">
        <v>16</v>
      </c>
      <c r="B26" t="s">
        <v>37</v>
      </c>
      <c r="C26" t="s">
        <v>38</v>
      </c>
      <c r="D26" t="s">
        <v>39</v>
      </c>
      <c r="E26">
        <v>17.45</v>
      </c>
      <c r="F26">
        <v>29</v>
      </c>
      <c r="G26">
        <v>0</v>
      </c>
      <c r="H26">
        <v>10</v>
      </c>
      <c r="I26" t="b">
        <v>0</v>
      </c>
    </row>
    <row r="27" spans="1:9">
      <c r="A27">
        <v>17</v>
      </c>
      <c r="B27" t="s">
        <v>40</v>
      </c>
      <c r="C27" t="s">
        <v>38</v>
      </c>
      <c r="D27" t="s">
        <v>26</v>
      </c>
      <c r="E27">
        <v>39</v>
      </c>
      <c r="F27">
        <v>0</v>
      </c>
      <c r="G27">
        <v>0</v>
      </c>
      <c r="H27">
        <v>0</v>
      </c>
      <c r="I27" t="b">
        <v>1</v>
      </c>
    </row>
    <row r="28" spans="1:9">
      <c r="A28">
        <v>18</v>
      </c>
      <c r="B28" t="s">
        <v>41</v>
      </c>
      <c r="C28" t="s">
        <v>38</v>
      </c>
      <c r="D28" t="s">
        <v>28</v>
      </c>
      <c r="E28">
        <v>62.5</v>
      </c>
      <c r="F28">
        <v>42</v>
      </c>
      <c r="G28">
        <v>0</v>
      </c>
      <c r="H28">
        <v>0</v>
      </c>
      <c r="I28" t="b">
        <v>0</v>
      </c>
    </row>
    <row r="29" spans="1:9">
      <c r="A29">
        <v>19</v>
      </c>
      <c r="B29" t="s">
        <v>42</v>
      </c>
      <c r="C29" t="s">
        <v>43</v>
      </c>
      <c r="D29" t="s">
        <v>39</v>
      </c>
      <c r="E29">
        <v>9.2</v>
      </c>
      <c r="F29">
        <v>25</v>
      </c>
      <c r="G29">
        <v>0</v>
      </c>
      <c r="H29">
        <v>5</v>
      </c>
      <c r="I29" t="b">
        <v>0</v>
      </c>
    </row>
    <row r="30" spans="1:9">
      <c r="A30">
        <v>20</v>
      </c>
      <c r="B30" t="s">
        <v>44</v>
      </c>
      <c r="C30" t="s">
        <v>43</v>
      </c>
      <c r="D30" t="s">
        <v>39</v>
      </c>
      <c r="E30">
        <v>81</v>
      </c>
      <c r="F30">
        <v>40</v>
      </c>
      <c r="G30">
        <v>0</v>
      </c>
      <c r="H30">
        <v>0</v>
      </c>
      <c r="I30" t="b">
        <v>0</v>
      </c>
    </row>
    <row r="31" spans="1:9">
      <c r="A31">
        <v>21</v>
      </c>
      <c r="B31" t="s">
        <v>45</v>
      </c>
      <c r="C31" t="s">
        <v>43</v>
      </c>
      <c r="D31" t="s">
        <v>39</v>
      </c>
      <c r="E31">
        <v>10</v>
      </c>
      <c r="F31">
        <v>3</v>
      </c>
      <c r="G31">
        <v>40</v>
      </c>
      <c r="H31">
        <v>5</v>
      </c>
      <c r="I31" t="b">
        <v>0</v>
      </c>
    </row>
    <row r="32" spans="1:9">
      <c r="A32">
        <v>22</v>
      </c>
      <c r="B32" t="s">
        <v>46</v>
      </c>
      <c r="C32" t="s">
        <v>47</v>
      </c>
      <c r="D32" t="s">
        <v>48</v>
      </c>
      <c r="E32">
        <v>21</v>
      </c>
      <c r="F32">
        <v>104</v>
      </c>
      <c r="G32">
        <v>0</v>
      </c>
      <c r="H32">
        <v>25</v>
      </c>
      <c r="I32" t="b">
        <v>0</v>
      </c>
    </row>
    <row r="33" spans="1:9">
      <c r="A33">
        <v>23</v>
      </c>
      <c r="B33" t="s">
        <v>49</v>
      </c>
      <c r="C33" t="s">
        <v>47</v>
      </c>
      <c r="D33" t="s">
        <v>48</v>
      </c>
      <c r="E33">
        <v>9</v>
      </c>
      <c r="F33">
        <v>61</v>
      </c>
      <c r="G33">
        <v>0</v>
      </c>
      <c r="H33">
        <v>25</v>
      </c>
      <c r="I33" t="b">
        <v>0</v>
      </c>
    </row>
    <row r="34" spans="1:9">
      <c r="A34">
        <v>24</v>
      </c>
      <c r="B34" t="s">
        <v>50</v>
      </c>
      <c r="C34" t="s">
        <v>51</v>
      </c>
      <c r="D34" t="s">
        <v>12</v>
      </c>
      <c r="E34">
        <v>4.5</v>
      </c>
      <c r="F34">
        <v>20</v>
      </c>
      <c r="G34">
        <v>0</v>
      </c>
      <c r="H34">
        <v>0</v>
      </c>
      <c r="I34" t="b">
        <v>1</v>
      </c>
    </row>
    <row r="35" spans="1:9">
      <c r="A35">
        <v>25</v>
      </c>
      <c r="B35" t="s">
        <v>52</v>
      </c>
      <c r="C35" t="s">
        <v>53</v>
      </c>
      <c r="D35" t="s">
        <v>39</v>
      </c>
      <c r="E35">
        <v>14</v>
      </c>
      <c r="F35">
        <v>76</v>
      </c>
      <c r="G35">
        <v>0</v>
      </c>
      <c r="H35">
        <v>30</v>
      </c>
      <c r="I35" t="b">
        <v>0</v>
      </c>
    </row>
    <row r="36" spans="1:9">
      <c r="A36">
        <v>26</v>
      </c>
      <c r="B36" t="s">
        <v>54</v>
      </c>
      <c r="C36" t="s">
        <v>53</v>
      </c>
      <c r="D36" t="s">
        <v>39</v>
      </c>
      <c r="E36">
        <v>31.23</v>
      </c>
      <c r="F36">
        <v>15</v>
      </c>
      <c r="G36">
        <v>0</v>
      </c>
      <c r="H36">
        <v>0</v>
      </c>
      <c r="I36" t="b">
        <v>0</v>
      </c>
    </row>
    <row r="37" spans="1:9">
      <c r="A37">
        <v>27</v>
      </c>
      <c r="B37" t="s">
        <v>55</v>
      </c>
      <c r="C37" t="s">
        <v>53</v>
      </c>
      <c r="D37" t="s">
        <v>39</v>
      </c>
      <c r="E37">
        <v>43.9</v>
      </c>
      <c r="F37">
        <v>49</v>
      </c>
      <c r="G37">
        <v>0</v>
      </c>
      <c r="H37">
        <v>30</v>
      </c>
      <c r="I37" t="b">
        <v>0</v>
      </c>
    </row>
    <row r="38" spans="1:9">
      <c r="A38">
        <v>28</v>
      </c>
      <c r="B38" t="s">
        <v>56</v>
      </c>
      <c r="C38" t="s">
        <v>57</v>
      </c>
      <c r="D38" t="s">
        <v>22</v>
      </c>
      <c r="E38">
        <v>45.6</v>
      </c>
      <c r="F38">
        <v>26</v>
      </c>
      <c r="G38">
        <v>0</v>
      </c>
      <c r="H38">
        <v>0</v>
      </c>
      <c r="I38" t="b">
        <v>1</v>
      </c>
    </row>
    <row r="39" spans="1:9">
      <c r="A39">
        <v>29</v>
      </c>
      <c r="B39" t="s">
        <v>58</v>
      </c>
      <c r="C39" t="s">
        <v>57</v>
      </c>
      <c r="D39" t="s">
        <v>26</v>
      </c>
      <c r="E39">
        <v>123.79</v>
      </c>
      <c r="F39">
        <v>0</v>
      </c>
      <c r="G39">
        <v>0</v>
      </c>
      <c r="H39">
        <v>0</v>
      </c>
      <c r="I39" t="b">
        <v>1</v>
      </c>
    </row>
    <row r="40" spans="1:9">
      <c r="A40">
        <v>30</v>
      </c>
      <c r="B40" t="s">
        <v>59</v>
      </c>
      <c r="C40" t="s">
        <v>60</v>
      </c>
      <c r="D40" t="s">
        <v>28</v>
      </c>
      <c r="E40">
        <v>25.89</v>
      </c>
      <c r="F40">
        <v>10</v>
      </c>
      <c r="G40">
        <v>0</v>
      </c>
      <c r="H40">
        <v>15</v>
      </c>
      <c r="I40" t="b">
        <v>0</v>
      </c>
    </row>
    <row r="41" spans="1:9">
      <c r="A41">
        <v>31</v>
      </c>
      <c r="B41" t="s">
        <v>61</v>
      </c>
      <c r="C41" t="s">
        <v>62</v>
      </c>
      <c r="D41" t="s">
        <v>31</v>
      </c>
      <c r="E41">
        <v>12.5</v>
      </c>
      <c r="F41">
        <v>0</v>
      </c>
      <c r="G41">
        <v>70</v>
      </c>
      <c r="H41">
        <v>20</v>
      </c>
      <c r="I41" t="b">
        <v>0</v>
      </c>
    </row>
    <row r="42" spans="1:9">
      <c r="A42">
        <v>32</v>
      </c>
      <c r="B42" t="s">
        <v>63</v>
      </c>
      <c r="C42" t="s">
        <v>62</v>
      </c>
      <c r="D42" t="s">
        <v>31</v>
      </c>
      <c r="E42">
        <v>32</v>
      </c>
      <c r="F42">
        <v>9</v>
      </c>
      <c r="G42">
        <v>40</v>
      </c>
      <c r="H42">
        <v>25</v>
      </c>
      <c r="I42" t="b">
        <v>0</v>
      </c>
    </row>
    <row r="43" spans="1:9">
      <c r="A43">
        <v>33</v>
      </c>
      <c r="B43" t="s">
        <v>64</v>
      </c>
      <c r="C43" t="s">
        <v>65</v>
      </c>
      <c r="D43" t="s">
        <v>31</v>
      </c>
      <c r="E43">
        <v>2.5</v>
      </c>
      <c r="F43">
        <v>112</v>
      </c>
      <c r="G43">
        <v>0</v>
      </c>
      <c r="H43">
        <v>20</v>
      </c>
      <c r="I43" t="b">
        <v>0</v>
      </c>
    </row>
    <row r="44" spans="1:9">
      <c r="A44">
        <v>34</v>
      </c>
      <c r="B44" t="s">
        <v>66</v>
      </c>
      <c r="C44" t="s">
        <v>67</v>
      </c>
      <c r="D44" t="s">
        <v>12</v>
      </c>
      <c r="E44">
        <v>14</v>
      </c>
      <c r="F44">
        <v>111</v>
      </c>
      <c r="G44">
        <v>0</v>
      </c>
      <c r="H44">
        <v>15</v>
      </c>
      <c r="I44" t="b">
        <v>0</v>
      </c>
    </row>
    <row r="45" spans="1:9">
      <c r="A45">
        <v>35</v>
      </c>
      <c r="B45" t="s">
        <v>68</v>
      </c>
      <c r="C45" t="s">
        <v>67</v>
      </c>
      <c r="D45" t="s">
        <v>12</v>
      </c>
      <c r="E45">
        <v>18</v>
      </c>
      <c r="F45">
        <v>20</v>
      </c>
      <c r="G45">
        <v>0</v>
      </c>
      <c r="H45">
        <v>15</v>
      </c>
      <c r="I45" t="b">
        <v>0</v>
      </c>
    </row>
    <row r="46" spans="1:9">
      <c r="A46">
        <v>36</v>
      </c>
      <c r="B46" t="s">
        <v>69</v>
      </c>
      <c r="C46" t="s">
        <v>70</v>
      </c>
      <c r="D46" t="s">
        <v>28</v>
      </c>
      <c r="E46">
        <v>19</v>
      </c>
      <c r="F46">
        <v>112</v>
      </c>
      <c r="G46">
        <v>0</v>
      </c>
      <c r="H46">
        <v>20</v>
      </c>
      <c r="I46" t="b">
        <v>0</v>
      </c>
    </row>
    <row r="47" spans="1:9">
      <c r="A47">
        <v>37</v>
      </c>
      <c r="B47" t="s">
        <v>71</v>
      </c>
      <c r="C47" t="s">
        <v>70</v>
      </c>
      <c r="D47" t="s">
        <v>28</v>
      </c>
      <c r="E47">
        <v>26</v>
      </c>
      <c r="F47">
        <v>11</v>
      </c>
      <c r="G47">
        <v>50</v>
      </c>
      <c r="H47">
        <v>25</v>
      </c>
      <c r="I47" t="b">
        <v>0</v>
      </c>
    </row>
    <row r="48" spans="1:9">
      <c r="A48">
        <v>38</v>
      </c>
      <c r="B48" t="s">
        <v>72</v>
      </c>
      <c r="C48" t="s">
        <v>73</v>
      </c>
      <c r="D48" t="s">
        <v>12</v>
      </c>
      <c r="E48">
        <v>263.5</v>
      </c>
      <c r="F48">
        <v>17</v>
      </c>
      <c r="G48">
        <v>0</v>
      </c>
      <c r="H48">
        <v>15</v>
      </c>
      <c r="I48" t="b">
        <v>0</v>
      </c>
    </row>
    <row r="49" spans="1:9">
      <c r="A49">
        <v>39</v>
      </c>
      <c r="B49" t="s">
        <v>74</v>
      </c>
      <c r="C49" t="s">
        <v>73</v>
      </c>
      <c r="D49" t="s">
        <v>12</v>
      </c>
      <c r="E49">
        <v>18</v>
      </c>
      <c r="F49">
        <v>69</v>
      </c>
      <c r="G49">
        <v>0</v>
      </c>
      <c r="H49">
        <v>5</v>
      </c>
      <c r="I49" t="b">
        <v>0</v>
      </c>
    </row>
    <row r="50" spans="1:9">
      <c r="A50">
        <v>40</v>
      </c>
      <c r="B50" t="s">
        <v>75</v>
      </c>
      <c r="C50" t="s">
        <v>76</v>
      </c>
      <c r="D50" t="s">
        <v>28</v>
      </c>
      <c r="E50">
        <v>18.4</v>
      </c>
      <c r="F50">
        <v>123</v>
      </c>
      <c r="G50">
        <v>0</v>
      </c>
      <c r="H50">
        <v>30</v>
      </c>
      <c r="I50" t="b">
        <v>0</v>
      </c>
    </row>
    <row r="51" spans="1:9">
      <c r="A51">
        <v>41</v>
      </c>
      <c r="B51" t="s">
        <v>77</v>
      </c>
      <c r="C51" t="s">
        <v>76</v>
      </c>
      <c r="D51" t="s">
        <v>28</v>
      </c>
      <c r="E51">
        <v>9.65</v>
      </c>
      <c r="F51">
        <v>85</v>
      </c>
      <c r="G51">
        <v>0</v>
      </c>
      <c r="H51">
        <v>10</v>
      </c>
      <c r="I51" t="b">
        <v>0</v>
      </c>
    </row>
    <row r="52" spans="1:9">
      <c r="A52">
        <v>42</v>
      </c>
      <c r="B52" t="s">
        <v>78</v>
      </c>
      <c r="C52" t="s">
        <v>79</v>
      </c>
      <c r="D52" t="s">
        <v>48</v>
      </c>
      <c r="E52">
        <v>14</v>
      </c>
      <c r="F52">
        <v>26</v>
      </c>
      <c r="G52">
        <v>0</v>
      </c>
      <c r="H52">
        <v>0</v>
      </c>
      <c r="I52" t="b">
        <v>1</v>
      </c>
    </row>
    <row r="53" spans="1:9">
      <c r="A53">
        <v>43</v>
      </c>
      <c r="B53" t="s">
        <v>80</v>
      </c>
      <c r="C53" t="s">
        <v>79</v>
      </c>
      <c r="D53" t="s">
        <v>12</v>
      </c>
      <c r="E53">
        <v>46</v>
      </c>
      <c r="F53">
        <v>17</v>
      </c>
      <c r="G53">
        <v>10</v>
      </c>
      <c r="H53">
        <v>25</v>
      </c>
      <c r="I53" t="b">
        <v>0</v>
      </c>
    </row>
    <row r="54" spans="1:9">
      <c r="A54">
        <v>44</v>
      </c>
      <c r="B54" t="s">
        <v>81</v>
      </c>
      <c r="C54" t="s">
        <v>79</v>
      </c>
      <c r="D54" t="s">
        <v>15</v>
      </c>
      <c r="E54">
        <v>19.45</v>
      </c>
      <c r="F54">
        <v>27</v>
      </c>
      <c r="G54">
        <v>0</v>
      </c>
      <c r="H54">
        <v>15</v>
      </c>
      <c r="I54" t="b">
        <v>0</v>
      </c>
    </row>
    <row r="55" spans="1:9">
      <c r="A55">
        <v>45</v>
      </c>
      <c r="B55" t="s">
        <v>82</v>
      </c>
      <c r="C55" t="s">
        <v>83</v>
      </c>
      <c r="D55" t="s">
        <v>28</v>
      </c>
      <c r="E55">
        <v>9.5</v>
      </c>
      <c r="F55">
        <v>5</v>
      </c>
      <c r="G55">
        <v>70</v>
      </c>
      <c r="H55">
        <v>15</v>
      </c>
      <c r="I55" t="b">
        <v>0</v>
      </c>
    </row>
    <row r="56" spans="1:9">
      <c r="A56">
        <v>46</v>
      </c>
      <c r="B56" t="s">
        <v>84</v>
      </c>
      <c r="C56" t="s">
        <v>83</v>
      </c>
      <c r="D56" t="s">
        <v>28</v>
      </c>
      <c r="E56">
        <v>12</v>
      </c>
      <c r="F56">
        <v>95</v>
      </c>
      <c r="G56">
        <v>0</v>
      </c>
      <c r="H56">
        <v>0</v>
      </c>
      <c r="I56" t="b">
        <v>0</v>
      </c>
    </row>
    <row r="57" spans="1:9">
      <c r="A57">
        <v>47</v>
      </c>
      <c r="B57" t="s">
        <v>85</v>
      </c>
      <c r="C57" t="s">
        <v>86</v>
      </c>
      <c r="D57" t="s">
        <v>39</v>
      </c>
      <c r="E57">
        <v>9.5</v>
      </c>
      <c r="F57">
        <v>36</v>
      </c>
      <c r="G57">
        <v>0</v>
      </c>
      <c r="H57">
        <v>0</v>
      </c>
      <c r="I57" t="b">
        <v>0</v>
      </c>
    </row>
    <row r="58" spans="1:9">
      <c r="A58">
        <v>48</v>
      </c>
      <c r="B58" t="s">
        <v>87</v>
      </c>
      <c r="C58" t="s">
        <v>86</v>
      </c>
      <c r="D58" t="s">
        <v>39</v>
      </c>
      <c r="E58">
        <v>12.75</v>
      </c>
      <c r="F58">
        <v>15</v>
      </c>
      <c r="G58">
        <v>70</v>
      </c>
      <c r="H58">
        <v>25</v>
      </c>
      <c r="I58" t="b">
        <v>0</v>
      </c>
    </row>
    <row r="59" spans="1:9">
      <c r="A59">
        <v>49</v>
      </c>
      <c r="B59" t="s">
        <v>88</v>
      </c>
      <c r="C59" t="s">
        <v>89</v>
      </c>
      <c r="D59" t="s">
        <v>39</v>
      </c>
      <c r="E59">
        <v>20</v>
      </c>
      <c r="F59">
        <v>10</v>
      </c>
      <c r="G59">
        <v>60</v>
      </c>
      <c r="H59">
        <v>15</v>
      </c>
      <c r="I59" t="b">
        <v>0</v>
      </c>
    </row>
    <row r="60" spans="1:9">
      <c r="A60">
        <v>50</v>
      </c>
      <c r="B60" t="s">
        <v>90</v>
      </c>
      <c r="C60" t="s">
        <v>89</v>
      </c>
      <c r="D60" t="s">
        <v>39</v>
      </c>
      <c r="E60">
        <v>16.25</v>
      </c>
      <c r="F60">
        <v>65</v>
      </c>
      <c r="G60">
        <v>0</v>
      </c>
      <c r="H60">
        <v>30</v>
      </c>
      <c r="I60" t="b">
        <v>0</v>
      </c>
    </row>
    <row r="61" spans="1:9">
      <c r="A61">
        <v>51</v>
      </c>
      <c r="B61" t="s">
        <v>91</v>
      </c>
      <c r="C61" t="s">
        <v>92</v>
      </c>
      <c r="D61" t="s">
        <v>22</v>
      </c>
      <c r="E61">
        <v>53</v>
      </c>
      <c r="F61">
        <v>20</v>
      </c>
      <c r="G61">
        <v>0</v>
      </c>
      <c r="H61">
        <v>10</v>
      </c>
      <c r="I61" t="b">
        <v>0</v>
      </c>
    </row>
    <row r="62" spans="1:9">
      <c r="A62">
        <v>52</v>
      </c>
      <c r="B62" t="s">
        <v>93</v>
      </c>
      <c r="C62" t="s">
        <v>92</v>
      </c>
      <c r="D62" t="s">
        <v>48</v>
      </c>
      <c r="E62">
        <v>7</v>
      </c>
      <c r="F62">
        <v>38</v>
      </c>
      <c r="G62">
        <v>0</v>
      </c>
      <c r="H62">
        <v>25</v>
      </c>
      <c r="I62" t="b">
        <v>0</v>
      </c>
    </row>
    <row r="63" spans="1:9">
      <c r="A63">
        <v>53</v>
      </c>
      <c r="B63" t="s">
        <v>94</v>
      </c>
      <c r="C63" t="s">
        <v>92</v>
      </c>
      <c r="D63" t="s">
        <v>26</v>
      </c>
      <c r="E63">
        <v>32.8</v>
      </c>
      <c r="F63">
        <v>0</v>
      </c>
      <c r="G63">
        <v>0</v>
      </c>
      <c r="H63">
        <v>0</v>
      </c>
      <c r="I63" t="b">
        <v>1</v>
      </c>
    </row>
    <row r="64" spans="1:9">
      <c r="A64">
        <v>54</v>
      </c>
      <c r="B64" t="s">
        <v>95</v>
      </c>
      <c r="C64" t="s">
        <v>96</v>
      </c>
      <c r="D64" t="s">
        <v>26</v>
      </c>
      <c r="E64">
        <v>7.45</v>
      </c>
      <c r="F64">
        <v>21</v>
      </c>
      <c r="G64">
        <v>0</v>
      </c>
      <c r="H64">
        <v>10</v>
      </c>
      <c r="I64" t="b">
        <v>0</v>
      </c>
    </row>
    <row r="65" spans="1:9">
      <c r="A65">
        <v>55</v>
      </c>
      <c r="B65" t="s">
        <v>97</v>
      </c>
      <c r="C65" t="s">
        <v>96</v>
      </c>
      <c r="D65" t="s">
        <v>26</v>
      </c>
      <c r="E65">
        <v>24</v>
      </c>
      <c r="F65">
        <v>115</v>
      </c>
      <c r="G65">
        <v>0</v>
      </c>
      <c r="H65">
        <v>20</v>
      </c>
      <c r="I65" t="b">
        <v>0</v>
      </c>
    </row>
    <row r="66" spans="1:9">
      <c r="A66">
        <v>56</v>
      </c>
      <c r="B66" t="s">
        <v>98</v>
      </c>
      <c r="C66" t="s">
        <v>99</v>
      </c>
      <c r="D66" t="s">
        <v>48</v>
      </c>
      <c r="E66">
        <v>38</v>
      </c>
      <c r="F66">
        <v>21</v>
      </c>
      <c r="G66">
        <v>10</v>
      </c>
      <c r="H66">
        <v>30</v>
      </c>
      <c r="I66" t="b">
        <v>0</v>
      </c>
    </row>
    <row r="67" spans="1:9">
      <c r="A67">
        <v>57</v>
      </c>
      <c r="B67" t="s">
        <v>100</v>
      </c>
      <c r="C67" t="s">
        <v>99</v>
      </c>
      <c r="D67" t="s">
        <v>48</v>
      </c>
      <c r="E67">
        <v>19.5</v>
      </c>
      <c r="F67">
        <v>36</v>
      </c>
      <c r="G67">
        <v>0</v>
      </c>
      <c r="H67">
        <v>20</v>
      </c>
      <c r="I67" t="b">
        <v>0</v>
      </c>
    </row>
    <row r="68" spans="1:9">
      <c r="A68">
        <v>58</v>
      </c>
      <c r="B68" t="s">
        <v>101</v>
      </c>
      <c r="C68" t="s">
        <v>102</v>
      </c>
      <c r="D68" t="s">
        <v>28</v>
      </c>
      <c r="E68">
        <v>13.25</v>
      </c>
      <c r="F68">
        <v>62</v>
      </c>
      <c r="G68">
        <v>0</v>
      </c>
      <c r="H68">
        <v>20</v>
      </c>
      <c r="I68" t="b">
        <v>0</v>
      </c>
    </row>
    <row r="69" spans="1:9">
      <c r="A69">
        <v>59</v>
      </c>
      <c r="B69" t="s">
        <v>103</v>
      </c>
      <c r="C69" t="s">
        <v>104</v>
      </c>
      <c r="D69" t="s">
        <v>31</v>
      </c>
      <c r="E69">
        <v>55</v>
      </c>
      <c r="F69">
        <v>79</v>
      </c>
      <c r="G69">
        <v>0</v>
      </c>
      <c r="H69">
        <v>0</v>
      </c>
      <c r="I69" t="b">
        <v>0</v>
      </c>
    </row>
    <row r="70" spans="1:9">
      <c r="A70">
        <v>60</v>
      </c>
      <c r="B70" t="s">
        <v>105</v>
      </c>
      <c r="C70" t="s">
        <v>104</v>
      </c>
      <c r="D70" t="s">
        <v>31</v>
      </c>
      <c r="E70">
        <v>34</v>
      </c>
      <c r="F70">
        <v>19</v>
      </c>
      <c r="G70">
        <v>0</v>
      </c>
      <c r="H70">
        <v>0</v>
      </c>
      <c r="I70" t="b">
        <v>0</v>
      </c>
    </row>
    <row r="71" spans="1:9">
      <c r="A71">
        <v>61</v>
      </c>
      <c r="B71" t="s">
        <v>106</v>
      </c>
      <c r="C71" t="s">
        <v>107</v>
      </c>
      <c r="D71" t="s">
        <v>15</v>
      </c>
      <c r="E71">
        <v>28.5</v>
      </c>
      <c r="F71">
        <v>113</v>
      </c>
      <c r="G71">
        <v>0</v>
      </c>
      <c r="H71">
        <v>25</v>
      </c>
      <c r="I71" t="b">
        <v>0</v>
      </c>
    </row>
    <row r="72" spans="1:9">
      <c r="A72">
        <v>62</v>
      </c>
      <c r="B72" t="s">
        <v>108</v>
      </c>
      <c r="C72" t="s">
        <v>107</v>
      </c>
      <c r="D72" t="s">
        <v>39</v>
      </c>
      <c r="E72">
        <v>49.3</v>
      </c>
      <c r="F72">
        <v>17</v>
      </c>
      <c r="G72">
        <v>0</v>
      </c>
      <c r="H72">
        <v>0</v>
      </c>
      <c r="I72" t="b">
        <v>0</v>
      </c>
    </row>
    <row r="73" spans="1:9">
      <c r="A73">
        <v>63</v>
      </c>
      <c r="B73" t="s">
        <v>109</v>
      </c>
      <c r="C73" t="s">
        <v>38</v>
      </c>
      <c r="D73" t="s">
        <v>15</v>
      </c>
      <c r="E73">
        <v>43.9</v>
      </c>
      <c r="F73">
        <v>24</v>
      </c>
      <c r="G73">
        <v>0</v>
      </c>
      <c r="H73">
        <v>5</v>
      </c>
      <c r="I73" t="b">
        <v>0</v>
      </c>
    </row>
    <row r="74" spans="1:9">
      <c r="A74">
        <v>64</v>
      </c>
      <c r="B74" t="s">
        <v>110</v>
      </c>
      <c r="C74" t="s">
        <v>57</v>
      </c>
      <c r="D74" t="s">
        <v>48</v>
      </c>
      <c r="E74">
        <v>33.25</v>
      </c>
      <c r="F74">
        <v>22</v>
      </c>
      <c r="G74">
        <v>80</v>
      </c>
      <c r="H74">
        <v>30</v>
      </c>
      <c r="I74" t="b">
        <v>0</v>
      </c>
    </row>
    <row r="75" spans="1:9">
      <c r="A75">
        <v>65</v>
      </c>
      <c r="B75" t="s">
        <v>111</v>
      </c>
      <c r="C75" t="s">
        <v>17</v>
      </c>
      <c r="D75" t="s">
        <v>15</v>
      </c>
      <c r="E75">
        <v>21.05</v>
      </c>
      <c r="F75">
        <v>76</v>
      </c>
      <c r="G75">
        <v>0</v>
      </c>
      <c r="H75">
        <v>0</v>
      </c>
      <c r="I75" t="b">
        <v>0</v>
      </c>
    </row>
    <row r="76" spans="1:9">
      <c r="A76">
        <v>66</v>
      </c>
      <c r="B76" t="s">
        <v>112</v>
      </c>
      <c r="C76" t="s">
        <v>17</v>
      </c>
      <c r="D76" t="s">
        <v>15</v>
      </c>
      <c r="E76">
        <v>17</v>
      </c>
      <c r="F76">
        <v>4</v>
      </c>
      <c r="G76">
        <v>100</v>
      </c>
      <c r="H76">
        <v>20</v>
      </c>
      <c r="I76" t="b">
        <v>0</v>
      </c>
    </row>
    <row r="77" spans="1:9">
      <c r="A77">
        <v>67</v>
      </c>
      <c r="B77" t="s">
        <v>113</v>
      </c>
      <c r="C77" t="s">
        <v>67</v>
      </c>
      <c r="D77" t="s">
        <v>12</v>
      </c>
      <c r="E77">
        <v>14</v>
      </c>
      <c r="F77">
        <v>52</v>
      </c>
      <c r="G77">
        <v>0</v>
      </c>
      <c r="H77">
        <v>10</v>
      </c>
      <c r="I77" t="b">
        <v>0</v>
      </c>
    </row>
    <row r="78" spans="1:9">
      <c r="A78">
        <v>68</v>
      </c>
      <c r="B78" t="s">
        <v>114</v>
      </c>
      <c r="C78" t="s">
        <v>43</v>
      </c>
      <c r="D78" t="s">
        <v>39</v>
      </c>
      <c r="E78">
        <v>12.5</v>
      </c>
      <c r="F78">
        <v>6</v>
      </c>
      <c r="G78">
        <v>10</v>
      </c>
      <c r="H78">
        <v>15</v>
      </c>
      <c r="I78" t="b">
        <v>0</v>
      </c>
    </row>
    <row r="79" spans="1:9">
      <c r="A79">
        <v>69</v>
      </c>
      <c r="B79" t="s">
        <v>115</v>
      </c>
      <c r="C79" t="s">
        <v>65</v>
      </c>
      <c r="D79" t="s">
        <v>31</v>
      </c>
      <c r="E79">
        <v>36</v>
      </c>
      <c r="F79">
        <v>26</v>
      </c>
      <c r="G79">
        <v>0</v>
      </c>
      <c r="H79">
        <v>15</v>
      </c>
      <c r="I79" t="b">
        <v>0</v>
      </c>
    </row>
    <row r="80" spans="1:9">
      <c r="A80">
        <v>70</v>
      </c>
      <c r="B80" t="s">
        <v>116</v>
      </c>
      <c r="C80" t="s">
        <v>38</v>
      </c>
      <c r="D80" t="s">
        <v>12</v>
      </c>
      <c r="E80">
        <v>15</v>
      </c>
      <c r="F80">
        <v>15</v>
      </c>
      <c r="G80">
        <v>10</v>
      </c>
      <c r="H80">
        <v>30</v>
      </c>
      <c r="I80" t="b">
        <v>0</v>
      </c>
    </row>
    <row r="81" spans="1:9">
      <c r="A81">
        <v>71</v>
      </c>
      <c r="B81" t="s">
        <v>117</v>
      </c>
      <c r="C81" t="s">
        <v>65</v>
      </c>
      <c r="D81" t="s">
        <v>31</v>
      </c>
      <c r="E81">
        <v>21.5</v>
      </c>
      <c r="F81">
        <v>26</v>
      </c>
      <c r="G81">
        <v>0</v>
      </c>
      <c r="H81">
        <v>0</v>
      </c>
      <c r="I81" t="b">
        <v>0</v>
      </c>
    </row>
    <row r="82" spans="1:9">
      <c r="A82">
        <v>72</v>
      </c>
      <c r="B82" t="s">
        <v>118</v>
      </c>
      <c r="C82" t="s">
        <v>62</v>
      </c>
      <c r="D82" t="s">
        <v>31</v>
      </c>
      <c r="E82">
        <v>34.8</v>
      </c>
      <c r="F82">
        <v>14</v>
      </c>
      <c r="G82">
        <v>0</v>
      </c>
      <c r="H82">
        <v>0</v>
      </c>
      <c r="I82" t="b">
        <v>0</v>
      </c>
    </row>
    <row r="83" spans="1:9">
      <c r="A83">
        <v>73</v>
      </c>
      <c r="B83" t="s">
        <v>119</v>
      </c>
      <c r="C83" t="s">
        <v>70</v>
      </c>
      <c r="D83" t="s">
        <v>28</v>
      </c>
      <c r="E83">
        <v>15</v>
      </c>
      <c r="F83">
        <v>101</v>
      </c>
      <c r="G83">
        <v>0</v>
      </c>
      <c r="H83">
        <v>5</v>
      </c>
      <c r="I83" t="b">
        <v>0</v>
      </c>
    </row>
    <row r="84" spans="1:9">
      <c r="A84">
        <v>74</v>
      </c>
      <c r="B84" t="s">
        <v>120</v>
      </c>
      <c r="C84" t="s">
        <v>25</v>
      </c>
      <c r="D84" t="s">
        <v>22</v>
      </c>
      <c r="E84">
        <v>10</v>
      </c>
      <c r="F84">
        <v>4</v>
      </c>
      <c r="G84">
        <v>20</v>
      </c>
      <c r="H84">
        <v>5</v>
      </c>
      <c r="I84" t="b">
        <v>0</v>
      </c>
    </row>
    <row r="85" spans="1:9">
      <c r="A85">
        <v>75</v>
      </c>
      <c r="B85" t="s">
        <v>121</v>
      </c>
      <c r="C85" t="s">
        <v>57</v>
      </c>
      <c r="D85" t="s">
        <v>12</v>
      </c>
      <c r="E85">
        <v>7.75</v>
      </c>
      <c r="F85">
        <v>125</v>
      </c>
      <c r="G85">
        <v>0</v>
      </c>
      <c r="H85">
        <v>25</v>
      </c>
      <c r="I85" t="b">
        <v>0</v>
      </c>
    </row>
    <row r="86" spans="1:9">
      <c r="A86">
        <v>76</v>
      </c>
      <c r="B86" t="s">
        <v>122</v>
      </c>
      <c r="C86" t="s">
        <v>89</v>
      </c>
      <c r="D86" t="s">
        <v>12</v>
      </c>
      <c r="E86">
        <v>18</v>
      </c>
      <c r="F86">
        <v>57</v>
      </c>
      <c r="G86">
        <v>0</v>
      </c>
      <c r="H86">
        <v>20</v>
      </c>
      <c r="I86" t="b">
        <v>0</v>
      </c>
    </row>
    <row r="87" spans="1:9">
      <c r="A87">
        <v>77</v>
      </c>
      <c r="B87" t="s">
        <v>123</v>
      </c>
      <c r="C87" t="s">
        <v>57</v>
      </c>
      <c r="D87" t="s">
        <v>15</v>
      </c>
      <c r="E87">
        <v>13</v>
      </c>
      <c r="F87">
        <v>32</v>
      </c>
      <c r="G87">
        <v>0</v>
      </c>
      <c r="H87">
        <v>15</v>
      </c>
      <c r="I87" t="b">
        <v>0</v>
      </c>
    </row>
    <row r="88" spans="1:9">
      <c r="F88">
        <f>SUBTOTAL(109,Table10[Units In Stock])</f>
        <v>3119</v>
      </c>
      <c r="G88">
        <f>SUBTOTAL(101,Table10[Units On Order])</f>
        <v>10.1298701298701</v>
      </c>
      <c r="I88">
        <f>SUBTOTAL(103,Table10[Discontinued])</f>
        <v>77</v>
      </c>
    </row>
  </sheetData>
  <mergeCells count="1">
    <mergeCell ref="B1:H1"/>
  </mergeCells>
  <pageMargins left="0.7" right="0.7" top="0.75" bottom="0.75" header="0.3" footer="0.3"/>
  <pageSetup paperSize="1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workbookViewId="0">
      <selection activeCell="D9" sqref="D9"/>
    </sheetView>
  </sheetViews>
  <sheetFormatPr defaultColWidth="9" defaultRowHeight="14.4"/>
  <cols>
    <col min="1" max="1" width="12.1111111111111" customWidth="1"/>
    <col min="2" max="2" width="29.5555555555556" customWidth="1"/>
    <col min="3" max="3" width="34.5555555555556" customWidth="1"/>
    <col min="4" max="4" width="16.8888888888889" customWidth="1"/>
    <col min="5" max="5" width="11.3333333333333" customWidth="1"/>
    <col min="6" max="6" width="14.6666666666667" customWidth="1"/>
    <col min="7" max="7" width="15.6666666666667" customWidth="1"/>
    <col min="8" max="8" width="14.6666666666667" customWidth="1"/>
    <col min="9" max="9" width="16.8888888888889" customWidth="1"/>
  </cols>
  <sheetData>
    <row r="1" ht="23.4" spans="1:9">
      <c r="B1" s="16" t="s">
        <v>124</v>
      </c>
      <c r="C1" s="16"/>
      <c r="D1" s="16"/>
      <c r="E1" s="16"/>
      <c r="F1" s="16"/>
      <c r="G1" s="16"/>
      <c r="H1" s="16"/>
    </row>
    <row r="8" spans="1:9">
      <c r="A8" s="93" t="s">
        <v>1</v>
      </c>
      <c r="B8" s="93" t="s">
        <v>2</v>
      </c>
      <c r="C8" s="93" t="s">
        <v>3</v>
      </c>
      <c r="D8" s="93" t="s">
        <v>4</v>
      </c>
      <c r="E8" s="93" t="s">
        <v>5</v>
      </c>
      <c r="F8" s="93" t="s">
        <v>6</v>
      </c>
      <c r="G8" s="93" t="s">
        <v>7</v>
      </c>
      <c r="H8" s="93" t="s">
        <v>8</v>
      </c>
      <c r="I8" s="93" t="s">
        <v>9</v>
      </c>
    </row>
    <row r="9" spans="1:9">
      <c r="A9">
        <v>1</v>
      </c>
      <c r="B9" t="s">
        <v>10</v>
      </c>
      <c r="C9" t="s">
        <v>11</v>
      </c>
      <c r="D9" t="s">
        <v>12</v>
      </c>
      <c r="E9" s="94">
        <v>18</v>
      </c>
      <c r="F9">
        <v>39</v>
      </c>
      <c r="G9">
        <v>0</v>
      </c>
      <c r="H9">
        <v>10</v>
      </c>
      <c r="I9" t="b">
        <v>0</v>
      </c>
    </row>
    <row r="10" spans="1:9">
      <c r="A10">
        <v>2</v>
      </c>
      <c r="B10" t="s">
        <v>13</v>
      </c>
      <c r="C10" t="s">
        <v>11</v>
      </c>
      <c r="D10" t="s">
        <v>12</v>
      </c>
      <c r="E10" s="94">
        <v>19</v>
      </c>
      <c r="F10">
        <v>17</v>
      </c>
      <c r="G10">
        <v>40</v>
      </c>
      <c r="H10">
        <v>25</v>
      </c>
      <c r="I10" t="b">
        <v>0</v>
      </c>
    </row>
    <row r="11" spans="1:9">
      <c r="A11">
        <v>24</v>
      </c>
      <c r="B11" t="s">
        <v>50</v>
      </c>
      <c r="C11" t="s">
        <v>51</v>
      </c>
      <c r="D11" t="s">
        <v>12</v>
      </c>
      <c r="E11" s="94">
        <v>4.5</v>
      </c>
      <c r="F11">
        <v>20</v>
      </c>
      <c r="G11">
        <v>0</v>
      </c>
      <c r="H11">
        <v>0</v>
      </c>
      <c r="I11" t="b">
        <v>1</v>
      </c>
    </row>
    <row r="12" spans="1:9">
      <c r="A12">
        <v>34</v>
      </c>
      <c r="B12" t="s">
        <v>66</v>
      </c>
      <c r="C12" t="s">
        <v>67</v>
      </c>
      <c r="D12" t="s">
        <v>12</v>
      </c>
      <c r="E12" s="94">
        <v>14</v>
      </c>
      <c r="F12">
        <v>111</v>
      </c>
      <c r="G12">
        <v>0</v>
      </c>
      <c r="H12">
        <v>15</v>
      </c>
      <c r="I12" t="b">
        <v>0</v>
      </c>
    </row>
    <row r="13" spans="1:9">
      <c r="A13">
        <v>35</v>
      </c>
      <c r="B13" t="s">
        <v>68</v>
      </c>
      <c r="C13" t="s">
        <v>67</v>
      </c>
      <c r="D13" t="s">
        <v>12</v>
      </c>
      <c r="E13" s="94">
        <v>18</v>
      </c>
      <c r="F13">
        <v>20</v>
      </c>
      <c r="G13">
        <v>0</v>
      </c>
      <c r="H13">
        <v>15</v>
      </c>
      <c r="I13" t="b">
        <v>0</v>
      </c>
    </row>
    <row r="14" spans="1:9">
      <c r="A14">
        <v>38</v>
      </c>
      <c r="B14" t="s">
        <v>72</v>
      </c>
      <c r="C14" t="s">
        <v>73</v>
      </c>
      <c r="D14" t="s">
        <v>12</v>
      </c>
      <c r="E14" s="94">
        <v>263.5</v>
      </c>
      <c r="F14">
        <v>17</v>
      </c>
      <c r="G14">
        <v>0</v>
      </c>
      <c r="H14">
        <v>15</v>
      </c>
      <c r="I14" t="b">
        <v>0</v>
      </c>
    </row>
    <row r="15" spans="1:9">
      <c r="A15">
        <v>39</v>
      </c>
      <c r="B15" t="s">
        <v>74</v>
      </c>
      <c r="C15" t="s">
        <v>73</v>
      </c>
      <c r="D15" t="s">
        <v>12</v>
      </c>
      <c r="E15" s="94">
        <v>18</v>
      </c>
      <c r="F15">
        <v>69</v>
      </c>
      <c r="G15">
        <v>0</v>
      </c>
      <c r="H15">
        <v>5</v>
      </c>
      <c r="I15" t="b">
        <v>0</v>
      </c>
    </row>
    <row r="16" spans="1:9">
      <c r="A16">
        <v>43</v>
      </c>
      <c r="B16" t="s">
        <v>80</v>
      </c>
      <c r="C16" t="s">
        <v>79</v>
      </c>
      <c r="D16" t="s">
        <v>12</v>
      </c>
      <c r="E16" s="94">
        <v>46</v>
      </c>
      <c r="F16">
        <v>17</v>
      </c>
      <c r="G16">
        <v>10</v>
      </c>
      <c r="H16">
        <v>25</v>
      </c>
      <c r="I16" t="b">
        <v>0</v>
      </c>
    </row>
    <row r="17" spans="1:9">
      <c r="A17">
        <v>67</v>
      </c>
      <c r="B17" t="s">
        <v>113</v>
      </c>
      <c r="C17" t="s">
        <v>67</v>
      </c>
      <c r="D17" t="s">
        <v>12</v>
      </c>
      <c r="E17" s="94">
        <v>14</v>
      </c>
      <c r="F17">
        <v>52</v>
      </c>
      <c r="G17">
        <v>0</v>
      </c>
      <c r="H17">
        <v>10</v>
      </c>
      <c r="I17" t="b">
        <v>0</v>
      </c>
    </row>
    <row r="18" spans="1:9">
      <c r="A18">
        <v>70</v>
      </c>
      <c r="B18" t="s">
        <v>116</v>
      </c>
      <c r="C18" t="s">
        <v>38</v>
      </c>
      <c r="D18" t="s">
        <v>12</v>
      </c>
      <c r="E18" s="94">
        <v>15</v>
      </c>
      <c r="F18">
        <v>15</v>
      </c>
      <c r="G18">
        <v>10</v>
      </c>
      <c r="H18">
        <v>30</v>
      </c>
      <c r="I18" t="b">
        <v>0</v>
      </c>
    </row>
    <row r="19" spans="1:9">
      <c r="A19">
        <v>75</v>
      </c>
      <c r="B19" t="s">
        <v>121</v>
      </c>
      <c r="C19" t="s">
        <v>57</v>
      </c>
      <c r="D19" t="s">
        <v>12</v>
      </c>
      <c r="E19" s="94">
        <v>7.75</v>
      </c>
      <c r="F19">
        <v>125</v>
      </c>
      <c r="G19">
        <v>0</v>
      </c>
      <c r="H19">
        <v>25</v>
      </c>
      <c r="I19" t="b">
        <v>0</v>
      </c>
    </row>
    <row r="20" spans="1:9">
      <c r="A20">
        <v>76</v>
      </c>
      <c r="B20" t="s">
        <v>122</v>
      </c>
      <c r="C20" t="s">
        <v>89</v>
      </c>
      <c r="D20" t="s">
        <v>12</v>
      </c>
      <c r="E20" s="94">
        <v>18</v>
      </c>
      <c r="F20">
        <v>57</v>
      </c>
      <c r="G20">
        <v>0</v>
      </c>
      <c r="H20">
        <v>20</v>
      </c>
      <c r="I20" t="b">
        <v>0</v>
      </c>
    </row>
    <row r="21" spans="1:9">
      <c r="A21">
        <v>3</v>
      </c>
      <c r="B21" t="s">
        <v>14</v>
      </c>
      <c r="C21" t="s">
        <v>11</v>
      </c>
      <c r="D21" t="s">
        <v>15</v>
      </c>
      <c r="E21" s="94">
        <v>10</v>
      </c>
      <c r="F21">
        <v>13</v>
      </c>
      <c r="G21">
        <v>70</v>
      </c>
      <c r="H21">
        <v>25</v>
      </c>
      <c r="I21" t="b">
        <v>0</v>
      </c>
    </row>
    <row r="22" spans="1:9">
      <c r="A22">
        <v>4</v>
      </c>
      <c r="B22" t="s">
        <v>16</v>
      </c>
      <c r="C22" t="s">
        <v>17</v>
      </c>
      <c r="D22" t="s">
        <v>15</v>
      </c>
      <c r="E22" s="94">
        <v>22</v>
      </c>
      <c r="F22">
        <v>53</v>
      </c>
      <c r="G22">
        <v>0</v>
      </c>
      <c r="H22">
        <v>0</v>
      </c>
      <c r="I22" t="b">
        <v>0</v>
      </c>
    </row>
    <row r="23" spans="1:9">
      <c r="A23">
        <v>5</v>
      </c>
      <c r="B23" t="s">
        <v>18</v>
      </c>
      <c r="C23" t="s">
        <v>17</v>
      </c>
      <c r="D23" t="s">
        <v>15</v>
      </c>
      <c r="E23" s="94">
        <v>21.35</v>
      </c>
      <c r="F23">
        <v>0</v>
      </c>
      <c r="G23">
        <v>0</v>
      </c>
      <c r="H23">
        <v>0</v>
      </c>
      <c r="I23" t="b">
        <v>1</v>
      </c>
    </row>
    <row r="24" spans="1:9">
      <c r="A24">
        <v>6</v>
      </c>
      <c r="B24" t="s">
        <v>19</v>
      </c>
      <c r="C24" t="s">
        <v>20</v>
      </c>
      <c r="D24" t="s">
        <v>15</v>
      </c>
      <c r="E24" s="94">
        <v>25</v>
      </c>
      <c r="F24">
        <v>120</v>
      </c>
      <c r="G24">
        <v>0</v>
      </c>
      <c r="H24">
        <v>25</v>
      </c>
      <c r="I24" t="b">
        <v>0</v>
      </c>
    </row>
    <row r="25" spans="1:9">
      <c r="A25">
        <v>8</v>
      </c>
      <c r="B25" t="s">
        <v>23</v>
      </c>
      <c r="C25" t="s">
        <v>20</v>
      </c>
      <c r="D25" t="s">
        <v>15</v>
      </c>
      <c r="E25" s="94">
        <v>40</v>
      </c>
      <c r="F25">
        <v>6</v>
      </c>
      <c r="G25">
        <v>0</v>
      </c>
      <c r="H25">
        <v>0</v>
      </c>
      <c r="I25" t="b">
        <v>0</v>
      </c>
    </row>
    <row r="26" spans="1:9">
      <c r="A26">
        <v>15</v>
      </c>
      <c r="B26" t="s">
        <v>36</v>
      </c>
      <c r="C26" t="s">
        <v>34</v>
      </c>
      <c r="D26" t="s">
        <v>15</v>
      </c>
      <c r="E26" s="94">
        <v>15.5</v>
      </c>
      <c r="F26">
        <v>39</v>
      </c>
      <c r="G26">
        <v>0</v>
      </c>
      <c r="H26">
        <v>5</v>
      </c>
      <c r="I26" t="b">
        <v>0</v>
      </c>
    </row>
    <row r="27" spans="1:9">
      <c r="A27">
        <v>44</v>
      </c>
      <c r="B27" t="s">
        <v>81</v>
      </c>
      <c r="C27" t="s">
        <v>79</v>
      </c>
      <c r="D27" t="s">
        <v>15</v>
      </c>
      <c r="E27" s="94">
        <v>19.45</v>
      </c>
      <c r="F27">
        <v>27</v>
      </c>
      <c r="G27">
        <v>0</v>
      </c>
      <c r="H27">
        <v>15</v>
      </c>
      <c r="I27" t="b">
        <v>0</v>
      </c>
    </row>
    <row r="28" spans="1:9">
      <c r="A28">
        <v>61</v>
      </c>
      <c r="B28" t="s">
        <v>106</v>
      </c>
      <c r="C28" t="s">
        <v>107</v>
      </c>
      <c r="D28" t="s">
        <v>15</v>
      </c>
      <c r="E28" s="94">
        <v>28.5</v>
      </c>
      <c r="F28">
        <v>113</v>
      </c>
      <c r="G28">
        <v>0</v>
      </c>
      <c r="H28">
        <v>25</v>
      </c>
      <c r="I28" t="b">
        <v>0</v>
      </c>
    </row>
    <row r="29" spans="1:9">
      <c r="A29">
        <v>63</v>
      </c>
      <c r="B29" t="s">
        <v>109</v>
      </c>
      <c r="C29" t="s">
        <v>38</v>
      </c>
      <c r="D29" t="s">
        <v>15</v>
      </c>
      <c r="E29" s="94">
        <v>43.9</v>
      </c>
      <c r="F29">
        <v>24</v>
      </c>
      <c r="G29">
        <v>0</v>
      </c>
      <c r="H29">
        <v>5</v>
      </c>
      <c r="I29" t="b">
        <v>0</v>
      </c>
    </row>
    <row r="30" spans="1:9">
      <c r="A30">
        <v>65</v>
      </c>
      <c r="B30" t="s">
        <v>111</v>
      </c>
      <c r="C30" t="s">
        <v>17</v>
      </c>
      <c r="D30" t="s">
        <v>15</v>
      </c>
      <c r="E30" s="94">
        <v>21.05</v>
      </c>
      <c r="F30">
        <v>76</v>
      </c>
      <c r="G30">
        <v>0</v>
      </c>
      <c r="H30">
        <v>0</v>
      </c>
      <c r="I30" t="b">
        <v>0</v>
      </c>
    </row>
    <row r="31" spans="1:9">
      <c r="A31">
        <v>66</v>
      </c>
      <c r="B31" t="s">
        <v>112</v>
      </c>
      <c r="C31" t="s">
        <v>17</v>
      </c>
      <c r="D31" t="s">
        <v>15</v>
      </c>
      <c r="E31" s="94">
        <v>17</v>
      </c>
      <c r="F31">
        <v>4</v>
      </c>
      <c r="G31">
        <v>100</v>
      </c>
      <c r="H31">
        <v>20</v>
      </c>
      <c r="I31" t="b">
        <v>0</v>
      </c>
    </row>
    <row r="32" spans="1:9">
      <c r="A32">
        <v>77</v>
      </c>
      <c r="B32" t="s">
        <v>123</v>
      </c>
      <c r="C32" t="s">
        <v>57</v>
      </c>
      <c r="D32" t="s">
        <v>15</v>
      </c>
      <c r="E32" s="94">
        <v>13</v>
      </c>
      <c r="F32">
        <v>32</v>
      </c>
      <c r="G32">
        <v>0</v>
      </c>
      <c r="H32">
        <v>15</v>
      </c>
      <c r="I32" t="b">
        <v>0</v>
      </c>
    </row>
    <row r="33" spans="1:9">
      <c r="A33">
        <v>16</v>
      </c>
      <c r="B33" t="s">
        <v>37</v>
      </c>
      <c r="C33" t="s">
        <v>38</v>
      </c>
      <c r="D33" t="s">
        <v>39</v>
      </c>
      <c r="E33" s="94">
        <v>17.45</v>
      </c>
      <c r="F33">
        <v>29</v>
      </c>
      <c r="G33">
        <v>0</v>
      </c>
      <c r="H33">
        <v>10</v>
      </c>
      <c r="I33" t="b">
        <v>0</v>
      </c>
    </row>
    <row r="34" spans="1:9">
      <c r="A34">
        <v>19</v>
      </c>
      <c r="B34" t="s">
        <v>42</v>
      </c>
      <c r="C34" t="s">
        <v>43</v>
      </c>
      <c r="D34" t="s">
        <v>39</v>
      </c>
      <c r="E34" s="94">
        <v>9.2</v>
      </c>
      <c r="F34">
        <v>25</v>
      </c>
      <c r="G34">
        <v>0</v>
      </c>
      <c r="H34">
        <v>5</v>
      </c>
      <c r="I34" t="b">
        <v>0</v>
      </c>
    </row>
    <row r="35" spans="1:9">
      <c r="A35">
        <v>20</v>
      </c>
      <c r="B35" t="s">
        <v>44</v>
      </c>
      <c r="C35" t="s">
        <v>43</v>
      </c>
      <c r="D35" t="s">
        <v>39</v>
      </c>
      <c r="E35" s="94">
        <v>81</v>
      </c>
      <c r="F35">
        <v>40</v>
      </c>
      <c r="G35">
        <v>0</v>
      </c>
      <c r="H35">
        <v>0</v>
      </c>
      <c r="I35" t="b">
        <v>0</v>
      </c>
    </row>
    <row r="36" spans="1:9">
      <c r="A36">
        <v>21</v>
      </c>
      <c r="B36" t="s">
        <v>45</v>
      </c>
      <c r="C36" t="s">
        <v>43</v>
      </c>
      <c r="D36" t="s">
        <v>39</v>
      </c>
      <c r="E36" s="94">
        <v>10</v>
      </c>
      <c r="F36">
        <v>3</v>
      </c>
      <c r="G36">
        <v>40</v>
      </c>
      <c r="H36">
        <v>5</v>
      </c>
      <c r="I36" t="b">
        <v>0</v>
      </c>
    </row>
    <row r="37" spans="1:9">
      <c r="A37">
        <v>25</v>
      </c>
      <c r="B37" t="s">
        <v>52</v>
      </c>
      <c r="C37" t="s">
        <v>53</v>
      </c>
      <c r="D37" t="s">
        <v>39</v>
      </c>
      <c r="E37" s="94">
        <v>14</v>
      </c>
      <c r="F37">
        <v>76</v>
      </c>
      <c r="G37">
        <v>0</v>
      </c>
      <c r="H37">
        <v>30</v>
      </c>
      <c r="I37" t="b">
        <v>0</v>
      </c>
    </row>
    <row r="38" spans="1:9">
      <c r="A38">
        <v>26</v>
      </c>
      <c r="B38" t="s">
        <v>54</v>
      </c>
      <c r="C38" t="s">
        <v>53</v>
      </c>
      <c r="D38" t="s">
        <v>39</v>
      </c>
      <c r="E38" s="94">
        <v>31.23</v>
      </c>
      <c r="F38">
        <v>15</v>
      </c>
      <c r="G38">
        <v>0</v>
      </c>
      <c r="H38">
        <v>0</v>
      </c>
      <c r="I38" t="b">
        <v>0</v>
      </c>
    </row>
    <row r="39" spans="1:9">
      <c r="A39">
        <v>27</v>
      </c>
      <c r="B39" t="s">
        <v>55</v>
      </c>
      <c r="C39" t="s">
        <v>53</v>
      </c>
      <c r="D39" t="s">
        <v>39</v>
      </c>
      <c r="E39" s="94">
        <v>43.9</v>
      </c>
      <c r="F39">
        <v>49</v>
      </c>
      <c r="G39">
        <v>0</v>
      </c>
      <c r="H39">
        <v>30</v>
      </c>
      <c r="I39" t="b">
        <v>0</v>
      </c>
    </row>
    <row r="40" spans="1:9">
      <c r="A40">
        <v>47</v>
      </c>
      <c r="B40" t="s">
        <v>85</v>
      </c>
      <c r="C40" t="s">
        <v>86</v>
      </c>
      <c r="D40" t="s">
        <v>39</v>
      </c>
      <c r="E40" s="94">
        <v>9.5</v>
      </c>
      <c r="F40">
        <v>36</v>
      </c>
      <c r="G40">
        <v>0</v>
      </c>
      <c r="H40">
        <v>0</v>
      </c>
      <c r="I40" t="b">
        <v>0</v>
      </c>
    </row>
    <row r="41" spans="1:9">
      <c r="A41">
        <v>48</v>
      </c>
      <c r="B41" t="s">
        <v>87</v>
      </c>
      <c r="C41" t="s">
        <v>86</v>
      </c>
      <c r="D41" t="s">
        <v>39</v>
      </c>
      <c r="E41" s="94">
        <v>12.75</v>
      </c>
      <c r="F41">
        <v>15</v>
      </c>
      <c r="G41">
        <v>70</v>
      </c>
      <c r="H41">
        <v>25</v>
      </c>
      <c r="I41" t="b">
        <v>0</v>
      </c>
    </row>
    <row r="42" spans="1:9">
      <c r="A42">
        <v>49</v>
      </c>
      <c r="B42" t="s">
        <v>88</v>
      </c>
      <c r="C42" t="s">
        <v>89</v>
      </c>
      <c r="D42" t="s">
        <v>39</v>
      </c>
      <c r="E42" s="94">
        <v>20</v>
      </c>
      <c r="F42">
        <v>10</v>
      </c>
      <c r="G42">
        <v>60</v>
      </c>
      <c r="H42">
        <v>15</v>
      </c>
      <c r="I42" t="b">
        <v>0</v>
      </c>
    </row>
    <row r="43" spans="1:9">
      <c r="A43">
        <v>50</v>
      </c>
      <c r="B43" t="s">
        <v>90</v>
      </c>
      <c r="C43" t="s">
        <v>89</v>
      </c>
      <c r="D43" t="s">
        <v>39</v>
      </c>
      <c r="E43" s="94">
        <v>16.25</v>
      </c>
      <c r="F43">
        <v>65</v>
      </c>
      <c r="G43">
        <v>0</v>
      </c>
      <c r="H43">
        <v>30</v>
      </c>
      <c r="I43" t="b">
        <v>0</v>
      </c>
    </row>
    <row r="44" spans="1:9">
      <c r="A44">
        <v>62</v>
      </c>
      <c r="B44" t="s">
        <v>108</v>
      </c>
      <c r="C44" t="s">
        <v>107</v>
      </c>
      <c r="D44" t="s">
        <v>39</v>
      </c>
      <c r="E44" s="94">
        <v>49.3</v>
      </c>
      <c r="F44">
        <v>17</v>
      </c>
      <c r="G44">
        <v>0</v>
      </c>
      <c r="H44">
        <v>0</v>
      </c>
      <c r="I44" t="b">
        <v>0</v>
      </c>
    </row>
    <row r="45" spans="1:9">
      <c r="A45">
        <v>68</v>
      </c>
      <c r="B45" t="s">
        <v>114</v>
      </c>
      <c r="C45" t="s">
        <v>43</v>
      </c>
      <c r="D45" t="s">
        <v>39</v>
      </c>
      <c r="E45" s="94">
        <v>12.5</v>
      </c>
      <c r="F45">
        <v>6</v>
      </c>
      <c r="G45">
        <v>10</v>
      </c>
      <c r="H45">
        <v>15</v>
      </c>
      <c r="I45" t="b">
        <v>0</v>
      </c>
    </row>
    <row r="46" spans="1:9">
      <c r="A46">
        <v>11</v>
      </c>
      <c r="B46" t="s">
        <v>29</v>
      </c>
      <c r="C46" t="s">
        <v>30</v>
      </c>
      <c r="D46" t="s">
        <v>31</v>
      </c>
      <c r="E46" s="94">
        <v>21</v>
      </c>
      <c r="F46">
        <v>22</v>
      </c>
      <c r="G46">
        <v>30</v>
      </c>
      <c r="H46">
        <v>30</v>
      </c>
      <c r="I46" t="b">
        <v>0</v>
      </c>
    </row>
    <row r="47" spans="1:9">
      <c r="A47">
        <v>12</v>
      </c>
      <c r="B47" t="s">
        <v>32</v>
      </c>
      <c r="C47" t="s">
        <v>30</v>
      </c>
      <c r="D47" t="s">
        <v>31</v>
      </c>
      <c r="E47" s="94">
        <v>38</v>
      </c>
      <c r="F47">
        <v>86</v>
      </c>
      <c r="G47">
        <v>0</v>
      </c>
      <c r="H47">
        <v>0</v>
      </c>
      <c r="I47" t="b">
        <v>0</v>
      </c>
    </row>
    <row r="48" spans="1:9">
      <c r="A48">
        <v>31</v>
      </c>
      <c r="B48" t="s">
        <v>61</v>
      </c>
      <c r="C48" t="s">
        <v>62</v>
      </c>
      <c r="D48" t="s">
        <v>31</v>
      </c>
      <c r="E48" s="94">
        <v>12.5</v>
      </c>
      <c r="F48">
        <v>0</v>
      </c>
      <c r="G48">
        <v>70</v>
      </c>
      <c r="H48">
        <v>20</v>
      </c>
      <c r="I48" t="b">
        <v>0</v>
      </c>
    </row>
    <row r="49" spans="1:9">
      <c r="A49">
        <v>32</v>
      </c>
      <c r="B49" t="s">
        <v>63</v>
      </c>
      <c r="C49" t="s">
        <v>62</v>
      </c>
      <c r="D49" t="s">
        <v>31</v>
      </c>
      <c r="E49" s="94">
        <v>32</v>
      </c>
      <c r="F49">
        <v>9</v>
      </c>
      <c r="G49">
        <v>40</v>
      </c>
      <c r="H49">
        <v>25</v>
      </c>
      <c r="I49" t="b">
        <v>0</v>
      </c>
    </row>
    <row r="50" spans="1:9">
      <c r="A50">
        <v>33</v>
      </c>
      <c r="B50" t="s">
        <v>64</v>
      </c>
      <c r="C50" t="s">
        <v>65</v>
      </c>
      <c r="D50" t="s">
        <v>31</v>
      </c>
      <c r="E50" s="94">
        <v>2.5</v>
      </c>
      <c r="F50">
        <v>112</v>
      </c>
      <c r="G50">
        <v>0</v>
      </c>
      <c r="H50">
        <v>20</v>
      </c>
      <c r="I50" t="b">
        <v>0</v>
      </c>
    </row>
    <row r="51" spans="1:9">
      <c r="A51">
        <v>59</v>
      </c>
      <c r="B51" t="s">
        <v>103</v>
      </c>
      <c r="C51" t="s">
        <v>104</v>
      </c>
      <c r="D51" t="s">
        <v>31</v>
      </c>
      <c r="E51" s="94">
        <v>55</v>
      </c>
      <c r="F51">
        <v>79</v>
      </c>
      <c r="G51">
        <v>0</v>
      </c>
      <c r="H51">
        <v>0</v>
      </c>
      <c r="I51" t="b">
        <v>0</v>
      </c>
    </row>
    <row r="52" spans="1:9">
      <c r="A52">
        <v>60</v>
      </c>
      <c r="B52" t="s">
        <v>105</v>
      </c>
      <c r="C52" t="s">
        <v>104</v>
      </c>
      <c r="D52" t="s">
        <v>31</v>
      </c>
      <c r="E52" s="94">
        <v>34</v>
      </c>
      <c r="F52">
        <v>19</v>
      </c>
      <c r="G52">
        <v>0</v>
      </c>
      <c r="H52">
        <v>0</v>
      </c>
      <c r="I52" t="b">
        <v>0</v>
      </c>
    </row>
    <row r="53" spans="1:9">
      <c r="A53">
        <v>69</v>
      </c>
      <c r="B53" t="s">
        <v>115</v>
      </c>
      <c r="C53" t="s">
        <v>65</v>
      </c>
      <c r="D53" t="s">
        <v>31</v>
      </c>
      <c r="E53" s="94">
        <v>36</v>
      </c>
      <c r="F53">
        <v>26</v>
      </c>
      <c r="G53">
        <v>0</v>
      </c>
      <c r="H53">
        <v>15</v>
      </c>
      <c r="I53" t="b">
        <v>0</v>
      </c>
    </row>
    <row r="54" spans="1:9">
      <c r="A54">
        <v>71</v>
      </c>
      <c r="B54" t="s">
        <v>117</v>
      </c>
      <c r="C54" t="s">
        <v>65</v>
      </c>
      <c r="D54" t="s">
        <v>31</v>
      </c>
      <c r="E54" s="94">
        <v>21.5</v>
      </c>
      <c r="F54">
        <v>26</v>
      </c>
      <c r="G54">
        <v>0</v>
      </c>
      <c r="H54">
        <v>0</v>
      </c>
      <c r="I54" t="b">
        <v>0</v>
      </c>
    </row>
    <row r="55" spans="1:9">
      <c r="A55">
        <v>72</v>
      </c>
      <c r="B55" t="s">
        <v>118</v>
      </c>
      <c r="C55" t="s">
        <v>62</v>
      </c>
      <c r="D55" t="s">
        <v>31</v>
      </c>
      <c r="E55" s="94">
        <v>34.8</v>
      </c>
      <c r="F55">
        <v>14</v>
      </c>
      <c r="G55">
        <v>0</v>
      </c>
      <c r="H55">
        <v>0</v>
      </c>
      <c r="I55" t="b">
        <v>0</v>
      </c>
    </row>
    <row r="56" spans="1:9">
      <c r="A56">
        <v>22</v>
      </c>
      <c r="B56" t="s">
        <v>46</v>
      </c>
      <c r="C56" t="s">
        <v>47</v>
      </c>
      <c r="D56" t="s">
        <v>48</v>
      </c>
      <c r="E56" s="94">
        <v>21</v>
      </c>
      <c r="F56">
        <v>104</v>
      </c>
      <c r="G56">
        <v>0</v>
      </c>
      <c r="H56">
        <v>25</v>
      </c>
      <c r="I56" t="b">
        <v>0</v>
      </c>
    </row>
    <row r="57" spans="1:9">
      <c r="A57">
        <v>23</v>
      </c>
      <c r="B57" t="s">
        <v>49</v>
      </c>
      <c r="C57" t="s">
        <v>47</v>
      </c>
      <c r="D57" t="s">
        <v>48</v>
      </c>
      <c r="E57" s="94">
        <v>9</v>
      </c>
      <c r="F57">
        <v>61</v>
      </c>
      <c r="G57">
        <v>0</v>
      </c>
      <c r="H57">
        <v>25</v>
      </c>
      <c r="I57" t="b">
        <v>0</v>
      </c>
    </row>
    <row r="58" spans="1:9">
      <c r="A58">
        <v>42</v>
      </c>
      <c r="B58" t="s">
        <v>78</v>
      </c>
      <c r="C58" t="s">
        <v>79</v>
      </c>
      <c r="D58" t="s">
        <v>48</v>
      </c>
      <c r="E58" s="94">
        <v>14</v>
      </c>
      <c r="F58">
        <v>26</v>
      </c>
      <c r="G58">
        <v>0</v>
      </c>
      <c r="H58">
        <v>0</v>
      </c>
      <c r="I58" t="b">
        <v>1</v>
      </c>
    </row>
    <row r="59" spans="1:9">
      <c r="A59">
        <v>52</v>
      </c>
      <c r="B59" t="s">
        <v>93</v>
      </c>
      <c r="C59" t="s">
        <v>92</v>
      </c>
      <c r="D59" t="s">
        <v>48</v>
      </c>
      <c r="E59" s="94">
        <v>7</v>
      </c>
      <c r="F59">
        <v>38</v>
      </c>
      <c r="G59">
        <v>0</v>
      </c>
      <c r="H59">
        <v>25</v>
      </c>
      <c r="I59" t="b">
        <v>0</v>
      </c>
    </row>
    <row r="60" spans="1:9">
      <c r="A60">
        <v>56</v>
      </c>
      <c r="B60" t="s">
        <v>98</v>
      </c>
      <c r="C60" t="s">
        <v>99</v>
      </c>
      <c r="D60" t="s">
        <v>48</v>
      </c>
      <c r="E60" s="94">
        <v>38</v>
      </c>
      <c r="F60">
        <v>21</v>
      </c>
      <c r="G60">
        <v>10</v>
      </c>
      <c r="H60">
        <v>30</v>
      </c>
      <c r="I60" t="b">
        <v>0</v>
      </c>
    </row>
    <row r="61" spans="1:9">
      <c r="A61">
        <v>57</v>
      </c>
      <c r="B61" t="s">
        <v>100</v>
      </c>
      <c r="C61" t="s">
        <v>99</v>
      </c>
      <c r="D61" t="s">
        <v>48</v>
      </c>
      <c r="E61" s="94">
        <v>19.5</v>
      </c>
      <c r="F61">
        <v>36</v>
      </c>
      <c r="G61">
        <v>0</v>
      </c>
      <c r="H61">
        <v>20</v>
      </c>
      <c r="I61" t="b">
        <v>0</v>
      </c>
    </row>
    <row r="62" spans="1:9">
      <c r="A62">
        <v>64</v>
      </c>
      <c r="B62" t="s">
        <v>110</v>
      </c>
      <c r="C62" t="s">
        <v>57</v>
      </c>
      <c r="D62" t="s">
        <v>48</v>
      </c>
      <c r="E62" s="94">
        <v>33.25</v>
      </c>
      <c r="F62">
        <v>22</v>
      </c>
      <c r="G62">
        <v>80</v>
      </c>
      <c r="H62">
        <v>30</v>
      </c>
      <c r="I62" t="b">
        <v>0</v>
      </c>
    </row>
    <row r="63" spans="1:9">
      <c r="A63">
        <v>9</v>
      </c>
      <c r="B63" t="s">
        <v>24</v>
      </c>
      <c r="C63" t="s">
        <v>25</v>
      </c>
      <c r="D63" t="s">
        <v>26</v>
      </c>
      <c r="E63" s="94">
        <v>97</v>
      </c>
      <c r="F63">
        <v>29</v>
      </c>
      <c r="G63">
        <v>0</v>
      </c>
      <c r="H63">
        <v>0</v>
      </c>
      <c r="I63" t="b">
        <v>1</v>
      </c>
    </row>
    <row r="64" spans="1:9">
      <c r="A64">
        <v>17</v>
      </c>
      <c r="B64" t="s">
        <v>40</v>
      </c>
      <c r="C64" t="s">
        <v>38</v>
      </c>
      <c r="D64" t="s">
        <v>26</v>
      </c>
      <c r="E64" s="94">
        <v>39</v>
      </c>
      <c r="F64">
        <v>0</v>
      </c>
      <c r="G64">
        <v>0</v>
      </c>
      <c r="H64">
        <v>0</v>
      </c>
      <c r="I64" t="b">
        <v>1</v>
      </c>
    </row>
    <row r="65" spans="1:9">
      <c r="A65">
        <v>29</v>
      </c>
      <c r="B65" t="s">
        <v>58</v>
      </c>
      <c r="C65" t="s">
        <v>57</v>
      </c>
      <c r="D65" t="s">
        <v>26</v>
      </c>
      <c r="E65" s="94">
        <v>123.79</v>
      </c>
      <c r="F65">
        <v>0</v>
      </c>
      <c r="G65">
        <v>0</v>
      </c>
      <c r="H65">
        <v>0</v>
      </c>
      <c r="I65" t="b">
        <v>1</v>
      </c>
    </row>
    <row r="66" spans="1:9">
      <c r="A66">
        <v>53</v>
      </c>
      <c r="B66" t="s">
        <v>94</v>
      </c>
      <c r="C66" t="s">
        <v>92</v>
      </c>
      <c r="D66" t="s">
        <v>26</v>
      </c>
      <c r="E66" s="94">
        <v>32.8</v>
      </c>
      <c r="F66">
        <v>0</v>
      </c>
      <c r="G66">
        <v>0</v>
      </c>
      <c r="H66">
        <v>0</v>
      </c>
      <c r="I66" t="b">
        <v>1</v>
      </c>
    </row>
    <row r="67" spans="1:9">
      <c r="A67">
        <v>54</v>
      </c>
      <c r="B67" t="s">
        <v>95</v>
      </c>
      <c r="C67" t="s">
        <v>96</v>
      </c>
      <c r="D67" t="s">
        <v>26</v>
      </c>
      <c r="E67" s="94">
        <v>7.45</v>
      </c>
      <c r="F67">
        <v>21</v>
      </c>
      <c r="G67">
        <v>0</v>
      </c>
      <c r="H67">
        <v>10</v>
      </c>
      <c r="I67" t="b">
        <v>0</v>
      </c>
    </row>
    <row r="68" spans="1:9">
      <c r="A68">
        <v>55</v>
      </c>
      <c r="B68" t="s">
        <v>97</v>
      </c>
      <c r="C68" t="s">
        <v>96</v>
      </c>
      <c r="D68" t="s">
        <v>26</v>
      </c>
      <c r="E68" s="94">
        <v>24</v>
      </c>
      <c r="F68">
        <v>115</v>
      </c>
      <c r="G68">
        <v>0</v>
      </c>
      <c r="H68">
        <v>20</v>
      </c>
      <c r="I68" t="b">
        <v>0</v>
      </c>
    </row>
    <row r="69" spans="1:9">
      <c r="A69">
        <v>7</v>
      </c>
      <c r="B69" t="s">
        <v>21</v>
      </c>
      <c r="C69" t="s">
        <v>20</v>
      </c>
      <c r="D69" t="s">
        <v>22</v>
      </c>
      <c r="E69" s="94">
        <v>30</v>
      </c>
      <c r="F69">
        <v>15</v>
      </c>
      <c r="G69">
        <v>0</v>
      </c>
      <c r="H69">
        <v>10</v>
      </c>
      <c r="I69" t="b">
        <v>0</v>
      </c>
    </row>
    <row r="70" spans="1:9">
      <c r="A70">
        <v>14</v>
      </c>
      <c r="B70" t="s">
        <v>35</v>
      </c>
      <c r="C70" t="s">
        <v>34</v>
      </c>
      <c r="D70" t="s">
        <v>22</v>
      </c>
      <c r="E70" s="94">
        <v>23.25</v>
      </c>
      <c r="F70">
        <v>35</v>
      </c>
      <c r="G70">
        <v>0</v>
      </c>
      <c r="H70">
        <v>0</v>
      </c>
      <c r="I70" t="b">
        <v>0</v>
      </c>
    </row>
    <row r="71" spans="1:9">
      <c r="A71">
        <v>28</v>
      </c>
      <c r="B71" t="s">
        <v>56</v>
      </c>
      <c r="C71" t="s">
        <v>57</v>
      </c>
      <c r="D71" t="s">
        <v>22</v>
      </c>
      <c r="E71" s="94">
        <v>45.6</v>
      </c>
      <c r="F71">
        <v>26</v>
      </c>
      <c r="G71">
        <v>0</v>
      </c>
      <c r="H71">
        <v>0</v>
      </c>
      <c r="I71" t="b">
        <v>1</v>
      </c>
    </row>
    <row r="72" spans="1:9">
      <c r="A72">
        <v>51</v>
      </c>
      <c r="B72" t="s">
        <v>91</v>
      </c>
      <c r="C72" t="s">
        <v>92</v>
      </c>
      <c r="D72" t="s">
        <v>22</v>
      </c>
      <c r="E72" s="94">
        <v>53</v>
      </c>
      <c r="F72">
        <v>20</v>
      </c>
      <c r="G72">
        <v>0</v>
      </c>
      <c r="H72">
        <v>10</v>
      </c>
      <c r="I72" t="b">
        <v>0</v>
      </c>
    </row>
    <row r="73" spans="1:9">
      <c r="A73">
        <v>74</v>
      </c>
      <c r="B73" t="s">
        <v>120</v>
      </c>
      <c r="C73" t="s">
        <v>25</v>
      </c>
      <c r="D73" t="s">
        <v>22</v>
      </c>
      <c r="E73" s="94">
        <v>10</v>
      </c>
      <c r="F73">
        <v>4</v>
      </c>
      <c r="G73">
        <v>20</v>
      </c>
      <c r="H73">
        <v>5</v>
      </c>
      <c r="I73" t="b">
        <v>0</v>
      </c>
    </row>
    <row r="74" spans="1:9">
      <c r="A74">
        <v>10</v>
      </c>
      <c r="B74" t="s">
        <v>27</v>
      </c>
      <c r="C74" t="s">
        <v>25</v>
      </c>
      <c r="D74" t="s">
        <v>28</v>
      </c>
      <c r="E74" s="94">
        <v>31</v>
      </c>
      <c r="F74">
        <v>31</v>
      </c>
      <c r="G74">
        <v>0</v>
      </c>
      <c r="H74">
        <v>0</v>
      </c>
      <c r="I74" t="b">
        <v>0</v>
      </c>
    </row>
    <row r="75" spans="1:9">
      <c r="A75">
        <v>13</v>
      </c>
      <c r="B75" t="s">
        <v>33</v>
      </c>
      <c r="C75" t="s">
        <v>34</v>
      </c>
      <c r="D75" t="s">
        <v>28</v>
      </c>
      <c r="E75" s="94">
        <v>6</v>
      </c>
      <c r="F75">
        <v>24</v>
      </c>
      <c r="G75">
        <v>0</v>
      </c>
      <c r="H75">
        <v>5</v>
      </c>
      <c r="I75" t="b">
        <v>0</v>
      </c>
    </row>
    <row r="76" spans="1:9">
      <c r="A76">
        <v>18</v>
      </c>
      <c r="B76" t="s">
        <v>41</v>
      </c>
      <c r="C76" t="s">
        <v>38</v>
      </c>
      <c r="D76" t="s">
        <v>28</v>
      </c>
      <c r="E76" s="94">
        <v>62.5</v>
      </c>
      <c r="F76">
        <v>42</v>
      </c>
      <c r="G76">
        <v>0</v>
      </c>
      <c r="H76">
        <v>0</v>
      </c>
      <c r="I76" t="b">
        <v>0</v>
      </c>
    </row>
    <row r="77" spans="1:9">
      <c r="A77">
        <v>30</v>
      </c>
      <c r="B77" t="s">
        <v>59</v>
      </c>
      <c r="C77" t="s">
        <v>60</v>
      </c>
      <c r="D77" t="s">
        <v>28</v>
      </c>
      <c r="E77" s="94">
        <v>25.89</v>
      </c>
      <c r="F77">
        <v>10</v>
      </c>
      <c r="G77">
        <v>0</v>
      </c>
      <c r="H77">
        <v>15</v>
      </c>
      <c r="I77" t="b">
        <v>0</v>
      </c>
    </row>
    <row r="78" spans="1:9">
      <c r="A78">
        <v>36</v>
      </c>
      <c r="B78" t="s">
        <v>69</v>
      </c>
      <c r="C78" t="s">
        <v>70</v>
      </c>
      <c r="D78" t="s">
        <v>28</v>
      </c>
      <c r="E78" s="94">
        <v>19</v>
      </c>
      <c r="F78">
        <v>112</v>
      </c>
      <c r="G78">
        <v>0</v>
      </c>
      <c r="H78">
        <v>20</v>
      </c>
      <c r="I78" t="b">
        <v>0</v>
      </c>
    </row>
    <row r="79" spans="1:9">
      <c r="A79">
        <v>37</v>
      </c>
      <c r="B79" t="s">
        <v>71</v>
      </c>
      <c r="C79" t="s">
        <v>70</v>
      </c>
      <c r="D79" t="s">
        <v>28</v>
      </c>
      <c r="E79" s="94">
        <v>26</v>
      </c>
      <c r="F79">
        <v>11</v>
      </c>
      <c r="G79">
        <v>50</v>
      </c>
      <c r="H79">
        <v>25</v>
      </c>
      <c r="I79" t="b">
        <v>0</v>
      </c>
    </row>
    <row r="80" spans="1:9">
      <c r="A80">
        <v>40</v>
      </c>
      <c r="B80" t="s">
        <v>75</v>
      </c>
      <c r="C80" t="s">
        <v>76</v>
      </c>
      <c r="D80" t="s">
        <v>28</v>
      </c>
      <c r="E80" s="94">
        <v>18.4</v>
      </c>
      <c r="F80">
        <v>123</v>
      </c>
      <c r="G80">
        <v>0</v>
      </c>
      <c r="H80">
        <v>30</v>
      </c>
      <c r="I80" t="b">
        <v>0</v>
      </c>
    </row>
    <row r="81" spans="1:9">
      <c r="A81">
        <v>41</v>
      </c>
      <c r="B81" t="s">
        <v>77</v>
      </c>
      <c r="C81" t="s">
        <v>76</v>
      </c>
      <c r="D81" t="s">
        <v>28</v>
      </c>
      <c r="E81" s="94">
        <v>9.65</v>
      </c>
      <c r="F81">
        <v>85</v>
      </c>
      <c r="G81">
        <v>0</v>
      </c>
      <c r="H81">
        <v>10</v>
      </c>
      <c r="I81" t="b">
        <v>0</v>
      </c>
    </row>
    <row r="82" spans="1:9">
      <c r="A82">
        <v>45</v>
      </c>
      <c r="B82" t="s">
        <v>82</v>
      </c>
      <c r="C82" t="s">
        <v>83</v>
      </c>
      <c r="D82" t="s">
        <v>28</v>
      </c>
      <c r="E82" s="94">
        <v>9.5</v>
      </c>
      <c r="F82">
        <v>5</v>
      </c>
      <c r="G82">
        <v>70</v>
      </c>
      <c r="H82">
        <v>15</v>
      </c>
      <c r="I82" t="b">
        <v>0</v>
      </c>
    </row>
    <row r="83" spans="1:9">
      <c r="A83">
        <v>46</v>
      </c>
      <c r="B83" t="s">
        <v>84</v>
      </c>
      <c r="C83" t="s">
        <v>83</v>
      </c>
      <c r="D83" t="s">
        <v>28</v>
      </c>
      <c r="E83" s="94">
        <v>12</v>
      </c>
      <c r="F83">
        <v>95</v>
      </c>
      <c r="G83">
        <v>0</v>
      </c>
      <c r="H83">
        <v>0</v>
      </c>
      <c r="I83" t="b">
        <v>0</v>
      </c>
    </row>
    <row r="84" spans="1:9">
      <c r="A84">
        <v>58</v>
      </c>
      <c r="B84" t="s">
        <v>101</v>
      </c>
      <c r="C84" t="s">
        <v>102</v>
      </c>
      <c r="D84" t="s">
        <v>28</v>
      </c>
      <c r="E84" s="94">
        <v>13.25</v>
      </c>
      <c r="F84">
        <v>62</v>
      </c>
      <c r="G84">
        <v>0</v>
      </c>
      <c r="H84">
        <v>20</v>
      </c>
      <c r="I84" t="b">
        <v>0</v>
      </c>
    </row>
    <row r="85" spans="1:9">
      <c r="A85">
        <v>73</v>
      </c>
      <c r="B85" t="s">
        <v>119</v>
      </c>
      <c r="C85" t="s">
        <v>70</v>
      </c>
      <c r="D85" t="s">
        <v>28</v>
      </c>
      <c r="E85" s="94">
        <v>15</v>
      </c>
      <c r="F85">
        <v>101</v>
      </c>
      <c r="G85">
        <v>0</v>
      </c>
      <c r="H85">
        <v>5</v>
      </c>
      <c r="I85" t="b">
        <v>0</v>
      </c>
    </row>
  </sheetData>
  <mergeCells count="1">
    <mergeCell ref="B1:H1"/>
  </mergeCells>
  <pageMargins left="0.7" right="0.7" top="0.75" bottom="0.75" header="0.3" footer="0.3"/>
  <pageSetup paperSize="1" orientation="portrait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workbookViewId="0">
      <selection activeCell="D18" sqref="D18"/>
    </sheetView>
  </sheetViews>
  <sheetFormatPr defaultColWidth="9" defaultRowHeight="14.4"/>
  <cols>
    <col min="1" max="1" width="12.1111111111111" customWidth="1"/>
    <col min="2" max="2" width="29.5555555555556" customWidth="1"/>
    <col min="3" max="3" width="34.5555555555556" customWidth="1"/>
    <col min="4" max="4" width="16.8888888888889" customWidth="1"/>
    <col min="5" max="5" width="11.3333333333333" customWidth="1"/>
    <col min="6" max="6" width="14.6666666666667" customWidth="1"/>
    <col min="7" max="7" width="15.6666666666667" customWidth="1"/>
    <col min="8" max="8" width="14.6666666666667" customWidth="1"/>
    <col min="9" max="9" width="16.8888888888889" customWidth="1"/>
  </cols>
  <sheetData>
    <row r="1" ht="23.4" spans="1:9">
      <c r="B1" s="16" t="s">
        <v>124</v>
      </c>
      <c r="C1" s="16"/>
      <c r="D1" s="16"/>
      <c r="E1" s="16"/>
      <c r="F1" s="16"/>
      <c r="G1" s="16"/>
      <c r="H1" s="16"/>
    </row>
    <row r="8" spans="1:9">
      <c r="A8" s="93" t="s">
        <v>1</v>
      </c>
      <c r="B8" s="93" t="s">
        <v>2</v>
      </c>
      <c r="C8" s="93" t="s">
        <v>3</v>
      </c>
      <c r="D8" s="93" t="s">
        <v>4</v>
      </c>
      <c r="E8" s="93" t="s">
        <v>5</v>
      </c>
      <c r="F8" s="93" t="s">
        <v>6</v>
      </c>
      <c r="G8" s="93" t="s">
        <v>7</v>
      </c>
      <c r="H8" s="93" t="s">
        <v>8</v>
      </c>
      <c r="I8" s="93" t="s">
        <v>9</v>
      </c>
    </row>
    <row r="9" spans="1:9">
      <c r="A9">
        <v>38</v>
      </c>
      <c r="B9" t="s">
        <v>72</v>
      </c>
      <c r="C9" t="s">
        <v>73</v>
      </c>
      <c r="D9" t="s">
        <v>12</v>
      </c>
      <c r="E9" s="94">
        <v>263.5</v>
      </c>
      <c r="F9">
        <v>17</v>
      </c>
      <c r="G9">
        <v>0</v>
      </c>
      <c r="H9">
        <v>15</v>
      </c>
      <c r="I9" t="b">
        <v>0</v>
      </c>
    </row>
    <row r="10" spans="1:9">
      <c r="A10">
        <v>39</v>
      </c>
      <c r="B10" t="s">
        <v>74</v>
      </c>
      <c r="C10" t="s">
        <v>73</v>
      </c>
      <c r="D10" t="s">
        <v>12</v>
      </c>
      <c r="E10" s="94">
        <v>18</v>
      </c>
      <c r="F10">
        <v>69</v>
      </c>
      <c r="G10">
        <v>0</v>
      </c>
      <c r="H10">
        <v>5</v>
      </c>
      <c r="I10" t="b">
        <v>0</v>
      </c>
    </row>
    <row r="11" spans="1:9">
      <c r="A11">
        <v>34</v>
      </c>
      <c r="B11" t="s">
        <v>66</v>
      </c>
      <c r="C11" t="s">
        <v>67</v>
      </c>
      <c r="D11" t="s">
        <v>12</v>
      </c>
      <c r="E11" s="94">
        <v>14</v>
      </c>
      <c r="F11">
        <v>111</v>
      </c>
      <c r="G11">
        <v>0</v>
      </c>
      <c r="H11">
        <v>15</v>
      </c>
      <c r="I11" t="b">
        <v>0</v>
      </c>
    </row>
    <row r="12" spans="1:9">
      <c r="A12">
        <v>35</v>
      </c>
      <c r="B12" t="s">
        <v>68</v>
      </c>
      <c r="C12" t="s">
        <v>67</v>
      </c>
      <c r="D12" t="s">
        <v>12</v>
      </c>
      <c r="E12" s="94">
        <v>18</v>
      </c>
      <c r="F12">
        <v>20</v>
      </c>
      <c r="G12">
        <v>0</v>
      </c>
      <c r="H12">
        <v>15</v>
      </c>
      <c r="I12" t="b">
        <v>0</v>
      </c>
    </row>
    <row r="13" spans="1:9">
      <c r="A13">
        <v>67</v>
      </c>
      <c r="B13" t="s">
        <v>113</v>
      </c>
      <c r="C13" t="s">
        <v>67</v>
      </c>
      <c r="D13" t="s">
        <v>12</v>
      </c>
      <c r="E13" s="94">
        <v>14</v>
      </c>
      <c r="F13">
        <v>52</v>
      </c>
      <c r="G13">
        <v>0</v>
      </c>
      <c r="H13">
        <v>10</v>
      </c>
      <c r="I13" t="b">
        <v>0</v>
      </c>
    </row>
    <row r="14" spans="1:9">
      <c r="A14">
        <v>1</v>
      </c>
      <c r="B14" t="s">
        <v>10</v>
      </c>
      <c r="C14" t="s">
        <v>11</v>
      </c>
      <c r="D14" t="s">
        <v>12</v>
      </c>
      <c r="E14" s="94">
        <v>18</v>
      </c>
      <c r="F14">
        <v>39</v>
      </c>
      <c r="G14">
        <v>0</v>
      </c>
      <c r="H14">
        <v>10</v>
      </c>
      <c r="I14" t="b">
        <v>0</v>
      </c>
    </row>
    <row r="15" spans="1:9">
      <c r="A15">
        <v>2</v>
      </c>
      <c r="B15" t="s">
        <v>13</v>
      </c>
      <c r="C15" t="s">
        <v>11</v>
      </c>
      <c r="D15" t="s">
        <v>12</v>
      </c>
      <c r="E15" s="94">
        <v>19</v>
      </c>
      <c r="F15">
        <v>17</v>
      </c>
      <c r="G15">
        <v>40</v>
      </c>
      <c r="H15">
        <v>25</v>
      </c>
      <c r="I15" t="b">
        <v>0</v>
      </c>
    </row>
    <row r="16" spans="1:9">
      <c r="A16">
        <v>76</v>
      </c>
      <c r="B16" t="s">
        <v>122</v>
      </c>
      <c r="C16" t="s">
        <v>89</v>
      </c>
      <c r="D16" t="s">
        <v>12</v>
      </c>
      <c r="E16" s="94">
        <v>18</v>
      </c>
      <c r="F16">
        <v>57</v>
      </c>
      <c r="G16">
        <v>0</v>
      </c>
      <c r="H16">
        <v>20</v>
      </c>
      <c r="I16" t="b">
        <v>0</v>
      </c>
    </row>
    <row r="17" spans="1:9">
      <c r="A17">
        <v>43</v>
      </c>
      <c r="B17" t="s">
        <v>80</v>
      </c>
      <c r="C17" t="s">
        <v>79</v>
      </c>
      <c r="D17" t="s">
        <v>12</v>
      </c>
      <c r="E17" s="94">
        <v>46</v>
      </c>
      <c r="F17">
        <v>17</v>
      </c>
      <c r="G17">
        <v>10</v>
      </c>
      <c r="H17">
        <v>25</v>
      </c>
      <c r="I17" t="b">
        <v>0</v>
      </c>
    </row>
    <row r="18" spans="1:9">
      <c r="A18">
        <v>70</v>
      </c>
      <c r="B18" t="s">
        <v>116</v>
      </c>
      <c r="C18" t="s">
        <v>38</v>
      </c>
      <c r="D18" t="s">
        <v>12</v>
      </c>
      <c r="E18" s="94">
        <v>15</v>
      </c>
      <c r="F18">
        <v>15</v>
      </c>
      <c r="G18">
        <v>10</v>
      </c>
      <c r="H18">
        <v>30</v>
      </c>
      <c r="I18" t="b">
        <v>0</v>
      </c>
    </row>
    <row r="19" spans="1:9">
      <c r="A19">
        <v>75</v>
      </c>
      <c r="B19" t="s">
        <v>121</v>
      </c>
      <c r="C19" t="s">
        <v>57</v>
      </c>
      <c r="D19" t="s">
        <v>12</v>
      </c>
      <c r="E19" s="94">
        <v>7.75</v>
      </c>
      <c r="F19">
        <v>125</v>
      </c>
      <c r="G19">
        <v>0</v>
      </c>
      <c r="H19">
        <v>25</v>
      </c>
      <c r="I19" t="b">
        <v>0</v>
      </c>
    </row>
    <row r="20" spans="1:9">
      <c r="A20">
        <v>3</v>
      </c>
      <c r="B20" t="s">
        <v>14</v>
      </c>
      <c r="C20" t="s">
        <v>11</v>
      </c>
      <c r="D20" t="s">
        <v>15</v>
      </c>
      <c r="E20" s="94">
        <v>10</v>
      </c>
      <c r="F20">
        <v>13</v>
      </c>
      <c r="G20">
        <v>70</v>
      </c>
      <c r="H20">
        <v>25</v>
      </c>
      <c r="I20" t="b">
        <v>0</v>
      </c>
    </row>
    <row r="21" spans="1:9">
      <c r="A21">
        <v>61</v>
      </c>
      <c r="B21" t="s">
        <v>106</v>
      </c>
      <c r="C21" t="s">
        <v>107</v>
      </c>
      <c r="D21" t="s">
        <v>15</v>
      </c>
      <c r="E21" s="94">
        <v>28.5</v>
      </c>
      <c r="F21">
        <v>113</v>
      </c>
      <c r="G21">
        <v>0</v>
      </c>
      <c r="H21">
        <v>25</v>
      </c>
      <c r="I21" t="b">
        <v>0</v>
      </c>
    </row>
    <row r="22" spans="1:9">
      <c r="A22">
        <v>6</v>
      </c>
      <c r="B22" t="s">
        <v>19</v>
      </c>
      <c r="C22" t="s">
        <v>20</v>
      </c>
      <c r="D22" t="s">
        <v>15</v>
      </c>
      <c r="E22" s="94">
        <v>25</v>
      </c>
      <c r="F22">
        <v>120</v>
      </c>
      <c r="G22">
        <v>0</v>
      </c>
      <c r="H22">
        <v>25</v>
      </c>
      <c r="I22" t="b">
        <v>0</v>
      </c>
    </row>
    <row r="23" spans="1:9">
      <c r="A23">
        <v>8</v>
      </c>
      <c r="B23" t="s">
        <v>23</v>
      </c>
      <c r="C23" t="s">
        <v>20</v>
      </c>
      <c r="D23" t="s">
        <v>15</v>
      </c>
      <c r="E23" s="94">
        <v>40</v>
      </c>
      <c r="F23">
        <v>6</v>
      </c>
      <c r="G23">
        <v>0</v>
      </c>
      <c r="H23">
        <v>0</v>
      </c>
      <c r="I23" t="b">
        <v>0</v>
      </c>
    </row>
    <row r="24" spans="1:9">
      <c r="A24">
        <v>44</v>
      </c>
      <c r="B24" t="s">
        <v>81</v>
      </c>
      <c r="C24" t="s">
        <v>79</v>
      </c>
      <c r="D24" t="s">
        <v>15</v>
      </c>
      <c r="E24" s="94">
        <v>19.45</v>
      </c>
      <c r="F24">
        <v>27</v>
      </c>
      <c r="G24">
        <v>0</v>
      </c>
      <c r="H24">
        <v>15</v>
      </c>
      <c r="I24" t="b">
        <v>0</v>
      </c>
    </row>
    <row r="25" spans="1:9">
      <c r="A25">
        <v>15</v>
      </c>
      <c r="B25" t="s">
        <v>36</v>
      </c>
      <c r="C25" t="s">
        <v>34</v>
      </c>
      <c r="D25" t="s">
        <v>15</v>
      </c>
      <c r="E25" s="94">
        <v>15.5</v>
      </c>
      <c r="F25">
        <v>39</v>
      </c>
      <c r="G25">
        <v>0</v>
      </c>
      <c r="H25">
        <v>5</v>
      </c>
      <c r="I25" t="b">
        <v>0</v>
      </c>
    </row>
    <row r="26" spans="1:9">
      <c r="A26">
        <v>4</v>
      </c>
      <c r="B26" t="s">
        <v>16</v>
      </c>
      <c r="C26" t="s">
        <v>17</v>
      </c>
      <c r="D26" t="s">
        <v>15</v>
      </c>
      <c r="E26" s="94">
        <v>22</v>
      </c>
      <c r="F26">
        <v>53</v>
      </c>
      <c r="G26">
        <v>0</v>
      </c>
      <c r="H26">
        <v>0</v>
      </c>
      <c r="I26" t="b">
        <v>0</v>
      </c>
    </row>
    <row r="27" spans="1:9">
      <c r="A27">
        <v>65</v>
      </c>
      <c r="B27" t="s">
        <v>111</v>
      </c>
      <c r="C27" t="s">
        <v>17</v>
      </c>
      <c r="D27" t="s">
        <v>15</v>
      </c>
      <c r="E27" s="94">
        <v>21.05</v>
      </c>
      <c r="F27">
        <v>76</v>
      </c>
      <c r="G27">
        <v>0</v>
      </c>
      <c r="H27">
        <v>0</v>
      </c>
      <c r="I27" t="b">
        <v>0</v>
      </c>
    </row>
    <row r="28" spans="1:9">
      <c r="A28">
        <v>66</v>
      </c>
      <c r="B28" t="s">
        <v>112</v>
      </c>
      <c r="C28" t="s">
        <v>17</v>
      </c>
      <c r="D28" t="s">
        <v>15</v>
      </c>
      <c r="E28" s="94">
        <v>17</v>
      </c>
      <c r="F28">
        <v>4</v>
      </c>
      <c r="G28">
        <v>100</v>
      </c>
      <c r="H28">
        <v>20</v>
      </c>
      <c r="I28" t="b">
        <v>0</v>
      </c>
    </row>
    <row r="29" spans="1:9">
      <c r="A29">
        <v>63</v>
      </c>
      <c r="B29" t="s">
        <v>109</v>
      </c>
      <c r="C29" t="s">
        <v>38</v>
      </c>
      <c r="D29" t="s">
        <v>15</v>
      </c>
      <c r="E29" s="94">
        <v>43.9</v>
      </c>
      <c r="F29">
        <v>24</v>
      </c>
      <c r="G29">
        <v>0</v>
      </c>
      <c r="H29">
        <v>5</v>
      </c>
      <c r="I29" t="b">
        <v>0</v>
      </c>
    </row>
    <row r="30" spans="1:9">
      <c r="A30">
        <v>77</v>
      </c>
      <c r="B30" t="s">
        <v>123</v>
      </c>
      <c r="C30" t="s">
        <v>57</v>
      </c>
      <c r="D30" t="s">
        <v>15</v>
      </c>
      <c r="E30" s="94">
        <v>13</v>
      </c>
      <c r="F30">
        <v>32</v>
      </c>
      <c r="G30">
        <v>0</v>
      </c>
      <c r="H30">
        <v>15</v>
      </c>
      <c r="I30" t="b">
        <v>0</v>
      </c>
    </row>
    <row r="31" spans="1:9">
      <c r="A31">
        <v>62</v>
      </c>
      <c r="B31" t="s">
        <v>108</v>
      </c>
      <c r="C31" t="s">
        <v>107</v>
      </c>
      <c r="D31" t="s">
        <v>39</v>
      </c>
      <c r="E31" s="94">
        <v>49.3</v>
      </c>
      <c r="F31">
        <v>17</v>
      </c>
      <c r="G31">
        <v>0</v>
      </c>
      <c r="H31">
        <v>0</v>
      </c>
      <c r="I31" t="b">
        <v>0</v>
      </c>
    </row>
    <row r="32" spans="1:9">
      <c r="A32">
        <v>25</v>
      </c>
      <c r="B32" t="s">
        <v>52</v>
      </c>
      <c r="C32" t="s">
        <v>53</v>
      </c>
      <c r="D32" t="s">
        <v>39</v>
      </c>
      <c r="E32" s="94">
        <v>14</v>
      </c>
      <c r="F32">
        <v>76</v>
      </c>
      <c r="G32">
        <v>0</v>
      </c>
      <c r="H32">
        <v>30</v>
      </c>
      <c r="I32" t="b">
        <v>0</v>
      </c>
    </row>
    <row r="33" spans="1:9">
      <c r="A33">
        <v>26</v>
      </c>
      <c r="B33" t="s">
        <v>54</v>
      </c>
      <c r="C33" t="s">
        <v>53</v>
      </c>
      <c r="D33" t="s">
        <v>39</v>
      </c>
      <c r="E33" s="94">
        <v>31.23</v>
      </c>
      <c r="F33">
        <v>15</v>
      </c>
      <c r="G33">
        <v>0</v>
      </c>
      <c r="H33">
        <v>0</v>
      </c>
      <c r="I33" t="b">
        <v>0</v>
      </c>
    </row>
    <row r="34" spans="1:9">
      <c r="A34">
        <v>27</v>
      </c>
      <c r="B34" t="s">
        <v>55</v>
      </c>
      <c r="C34" t="s">
        <v>53</v>
      </c>
      <c r="D34" t="s">
        <v>39</v>
      </c>
      <c r="E34" s="94">
        <v>43.9</v>
      </c>
      <c r="F34">
        <v>49</v>
      </c>
      <c r="G34">
        <v>0</v>
      </c>
      <c r="H34">
        <v>30</v>
      </c>
      <c r="I34" t="b">
        <v>0</v>
      </c>
    </row>
    <row r="35" spans="1:9">
      <c r="A35">
        <v>49</v>
      </c>
      <c r="B35" t="s">
        <v>88</v>
      </c>
      <c r="C35" t="s">
        <v>89</v>
      </c>
      <c r="D35" t="s">
        <v>39</v>
      </c>
      <c r="E35" s="94">
        <v>20</v>
      </c>
      <c r="F35">
        <v>10</v>
      </c>
      <c r="G35">
        <v>60</v>
      </c>
      <c r="H35">
        <v>15</v>
      </c>
      <c r="I35" t="b">
        <v>0</v>
      </c>
    </row>
    <row r="36" spans="1:9">
      <c r="A36">
        <v>50</v>
      </c>
      <c r="B36" t="s">
        <v>90</v>
      </c>
      <c r="C36" t="s">
        <v>89</v>
      </c>
      <c r="D36" t="s">
        <v>39</v>
      </c>
      <c r="E36" s="94">
        <v>16.25</v>
      </c>
      <c r="F36">
        <v>65</v>
      </c>
      <c r="G36">
        <v>0</v>
      </c>
      <c r="H36">
        <v>30</v>
      </c>
      <c r="I36" t="b">
        <v>0</v>
      </c>
    </row>
    <row r="37" spans="1:9">
      <c r="A37">
        <v>16</v>
      </c>
      <c r="B37" t="s">
        <v>37</v>
      </c>
      <c r="C37" t="s">
        <v>38</v>
      </c>
      <c r="D37" t="s">
        <v>39</v>
      </c>
      <c r="E37" s="94">
        <v>17.45</v>
      </c>
      <c r="F37">
        <v>29</v>
      </c>
      <c r="G37">
        <v>0</v>
      </c>
      <c r="H37">
        <v>10</v>
      </c>
      <c r="I37" t="b">
        <v>0</v>
      </c>
    </row>
    <row r="38" spans="1:9">
      <c r="A38">
        <v>19</v>
      </c>
      <c r="B38" t="s">
        <v>42</v>
      </c>
      <c r="C38" t="s">
        <v>43</v>
      </c>
      <c r="D38" t="s">
        <v>39</v>
      </c>
      <c r="E38" s="94">
        <v>9.2</v>
      </c>
      <c r="F38">
        <v>25</v>
      </c>
      <c r="G38">
        <v>0</v>
      </c>
      <c r="H38">
        <v>5</v>
      </c>
      <c r="I38" t="b">
        <v>0</v>
      </c>
    </row>
    <row r="39" spans="1:9">
      <c r="A39">
        <v>20</v>
      </c>
      <c r="B39" t="s">
        <v>44</v>
      </c>
      <c r="C39" t="s">
        <v>43</v>
      </c>
      <c r="D39" t="s">
        <v>39</v>
      </c>
      <c r="E39" s="94">
        <v>81</v>
      </c>
      <c r="F39">
        <v>40</v>
      </c>
      <c r="G39">
        <v>0</v>
      </c>
      <c r="H39">
        <v>0</v>
      </c>
      <c r="I39" t="b">
        <v>0</v>
      </c>
    </row>
    <row r="40" spans="1:9">
      <c r="A40">
        <v>21</v>
      </c>
      <c r="B40" t="s">
        <v>45</v>
      </c>
      <c r="C40" t="s">
        <v>43</v>
      </c>
      <c r="D40" t="s">
        <v>39</v>
      </c>
      <c r="E40" s="94">
        <v>10</v>
      </c>
      <c r="F40">
        <v>3</v>
      </c>
      <c r="G40">
        <v>40</v>
      </c>
      <c r="H40">
        <v>5</v>
      </c>
      <c r="I40" t="b">
        <v>0</v>
      </c>
    </row>
    <row r="41" spans="1:9">
      <c r="A41">
        <v>68</v>
      </c>
      <c r="B41" t="s">
        <v>114</v>
      </c>
      <c r="C41" t="s">
        <v>43</v>
      </c>
      <c r="D41" t="s">
        <v>39</v>
      </c>
      <c r="E41" s="94">
        <v>12.5</v>
      </c>
      <c r="F41">
        <v>6</v>
      </c>
      <c r="G41">
        <v>10</v>
      </c>
      <c r="H41">
        <v>15</v>
      </c>
      <c r="I41" t="b">
        <v>0</v>
      </c>
    </row>
    <row r="42" spans="1:9">
      <c r="A42">
        <v>47</v>
      </c>
      <c r="B42" t="s">
        <v>85</v>
      </c>
      <c r="C42" t="s">
        <v>86</v>
      </c>
      <c r="D42" t="s">
        <v>39</v>
      </c>
      <c r="E42" s="94">
        <v>9.5</v>
      </c>
      <c r="F42">
        <v>36</v>
      </c>
      <c r="G42">
        <v>0</v>
      </c>
      <c r="H42">
        <v>0</v>
      </c>
      <c r="I42" t="b">
        <v>0</v>
      </c>
    </row>
    <row r="43" spans="1:9">
      <c r="A43">
        <v>48</v>
      </c>
      <c r="B43" t="s">
        <v>87</v>
      </c>
      <c r="C43" t="s">
        <v>86</v>
      </c>
      <c r="D43" t="s">
        <v>39</v>
      </c>
      <c r="E43" s="94">
        <v>12.75</v>
      </c>
      <c r="F43">
        <v>15</v>
      </c>
      <c r="G43">
        <v>70</v>
      </c>
      <c r="H43">
        <v>25</v>
      </c>
      <c r="I43" t="b">
        <v>0</v>
      </c>
    </row>
    <row r="44" spans="1:9">
      <c r="A44">
        <v>11</v>
      </c>
      <c r="B44" t="s">
        <v>29</v>
      </c>
      <c r="C44" t="s">
        <v>30</v>
      </c>
      <c r="D44" t="s">
        <v>31</v>
      </c>
      <c r="E44" s="94">
        <v>21</v>
      </c>
      <c r="F44">
        <v>22</v>
      </c>
      <c r="G44">
        <v>30</v>
      </c>
      <c r="H44">
        <v>30</v>
      </c>
      <c r="I44" t="b">
        <v>0</v>
      </c>
    </row>
    <row r="45" spans="1:9">
      <c r="A45">
        <v>12</v>
      </c>
      <c r="B45" t="s">
        <v>32</v>
      </c>
      <c r="C45" t="s">
        <v>30</v>
      </c>
      <c r="D45" t="s">
        <v>31</v>
      </c>
      <c r="E45" s="94">
        <v>38</v>
      </c>
      <c r="F45">
        <v>86</v>
      </c>
      <c r="G45">
        <v>0</v>
      </c>
      <c r="H45">
        <v>0</v>
      </c>
      <c r="I45" t="b">
        <v>0</v>
      </c>
    </row>
    <row r="46" spans="1:9">
      <c r="A46">
        <v>31</v>
      </c>
      <c r="B46" t="s">
        <v>61</v>
      </c>
      <c r="C46" t="s">
        <v>62</v>
      </c>
      <c r="D46" t="s">
        <v>31</v>
      </c>
      <c r="E46" s="94">
        <v>12.5</v>
      </c>
      <c r="F46">
        <v>0</v>
      </c>
      <c r="G46">
        <v>70</v>
      </c>
      <c r="H46">
        <v>20</v>
      </c>
      <c r="I46" t="b">
        <v>0</v>
      </c>
    </row>
    <row r="47" spans="1:9">
      <c r="A47">
        <v>32</v>
      </c>
      <c r="B47" t="s">
        <v>63</v>
      </c>
      <c r="C47" t="s">
        <v>62</v>
      </c>
      <c r="D47" t="s">
        <v>31</v>
      </c>
      <c r="E47" s="94">
        <v>32</v>
      </c>
      <c r="F47">
        <v>9</v>
      </c>
      <c r="G47">
        <v>40</v>
      </c>
      <c r="H47">
        <v>25</v>
      </c>
      <c r="I47" t="b">
        <v>0</v>
      </c>
    </row>
    <row r="48" spans="1:9">
      <c r="A48">
        <v>72</v>
      </c>
      <c r="B48" t="s">
        <v>118</v>
      </c>
      <c r="C48" t="s">
        <v>62</v>
      </c>
      <c r="D48" t="s">
        <v>31</v>
      </c>
      <c r="E48" s="94">
        <v>34.8</v>
      </c>
      <c r="F48">
        <v>14</v>
      </c>
      <c r="G48">
        <v>0</v>
      </c>
      <c r="H48">
        <v>0</v>
      </c>
      <c r="I48" t="b">
        <v>0</v>
      </c>
    </row>
    <row r="49" spans="1:9">
      <c r="A49">
        <v>59</v>
      </c>
      <c r="B49" t="s">
        <v>103</v>
      </c>
      <c r="C49" t="s">
        <v>104</v>
      </c>
      <c r="D49" t="s">
        <v>31</v>
      </c>
      <c r="E49" s="94">
        <v>55</v>
      </c>
      <c r="F49">
        <v>79</v>
      </c>
      <c r="G49">
        <v>0</v>
      </c>
      <c r="H49">
        <v>0</v>
      </c>
      <c r="I49" t="b">
        <v>0</v>
      </c>
    </row>
    <row r="50" spans="1:9">
      <c r="A50">
        <v>60</v>
      </c>
      <c r="B50" t="s">
        <v>105</v>
      </c>
      <c r="C50" t="s">
        <v>104</v>
      </c>
      <c r="D50" t="s">
        <v>31</v>
      </c>
      <c r="E50" s="94">
        <v>34</v>
      </c>
      <c r="F50">
        <v>19</v>
      </c>
      <c r="G50">
        <v>0</v>
      </c>
      <c r="H50">
        <v>0</v>
      </c>
      <c r="I50" t="b">
        <v>0</v>
      </c>
    </row>
    <row r="51" spans="1:9">
      <c r="A51">
        <v>33</v>
      </c>
      <c r="B51" t="s">
        <v>64</v>
      </c>
      <c r="C51" t="s">
        <v>65</v>
      </c>
      <c r="D51" t="s">
        <v>31</v>
      </c>
      <c r="E51" s="94">
        <v>2.5</v>
      </c>
      <c r="F51">
        <v>112</v>
      </c>
      <c r="G51">
        <v>0</v>
      </c>
      <c r="H51">
        <v>20</v>
      </c>
      <c r="I51" t="b">
        <v>0</v>
      </c>
    </row>
    <row r="52" spans="1:9">
      <c r="A52">
        <v>69</v>
      </c>
      <c r="B52" t="s">
        <v>115</v>
      </c>
      <c r="C52" t="s">
        <v>65</v>
      </c>
      <c r="D52" t="s">
        <v>31</v>
      </c>
      <c r="E52" s="94">
        <v>36</v>
      </c>
      <c r="F52">
        <v>26</v>
      </c>
      <c r="G52">
        <v>0</v>
      </c>
      <c r="H52">
        <v>15</v>
      </c>
      <c r="I52" t="b">
        <v>0</v>
      </c>
    </row>
    <row r="53" spans="1:9">
      <c r="A53">
        <v>71</v>
      </c>
      <c r="B53" t="s">
        <v>117</v>
      </c>
      <c r="C53" t="s">
        <v>65</v>
      </c>
      <c r="D53" t="s">
        <v>31</v>
      </c>
      <c r="E53" s="94">
        <v>21.5</v>
      </c>
      <c r="F53">
        <v>26</v>
      </c>
      <c r="G53">
        <v>0</v>
      </c>
      <c r="H53">
        <v>0</v>
      </c>
      <c r="I53" t="b">
        <v>0</v>
      </c>
    </row>
    <row r="54" spans="1:9">
      <c r="A54">
        <v>52</v>
      </c>
      <c r="B54" t="s">
        <v>93</v>
      </c>
      <c r="C54" t="s">
        <v>92</v>
      </c>
      <c r="D54" t="s">
        <v>48</v>
      </c>
      <c r="E54" s="94">
        <v>7</v>
      </c>
      <c r="F54">
        <v>38</v>
      </c>
      <c r="G54">
        <v>0</v>
      </c>
      <c r="H54">
        <v>25</v>
      </c>
      <c r="I54" t="b">
        <v>0</v>
      </c>
    </row>
    <row r="55" spans="1:9">
      <c r="A55">
        <v>56</v>
      </c>
      <c r="B55" t="s">
        <v>98</v>
      </c>
      <c r="C55" t="s">
        <v>99</v>
      </c>
      <c r="D55" t="s">
        <v>48</v>
      </c>
      <c r="E55" s="94">
        <v>38</v>
      </c>
      <c r="F55">
        <v>21</v>
      </c>
      <c r="G55">
        <v>10</v>
      </c>
      <c r="H55">
        <v>30</v>
      </c>
      <c r="I55" t="b">
        <v>0</v>
      </c>
    </row>
    <row r="56" spans="1:9">
      <c r="A56">
        <v>57</v>
      </c>
      <c r="B56" t="s">
        <v>100</v>
      </c>
      <c r="C56" t="s">
        <v>99</v>
      </c>
      <c r="D56" t="s">
        <v>48</v>
      </c>
      <c r="E56" s="94">
        <v>19.5</v>
      </c>
      <c r="F56">
        <v>36</v>
      </c>
      <c r="G56">
        <v>0</v>
      </c>
      <c r="H56">
        <v>20</v>
      </c>
      <c r="I56" t="b">
        <v>0</v>
      </c>
    </row>
    <row r="57" spans="1:9">
      <c r="A57">
        <v>22</v>
      </c>
      <c r="B57" t="s">
        <v>46</v>
      </c>
      <c r="C57" t="s">
        <v>47</v>
      </c>
      <c r="D57" t="s">
        <v>48</v>
      </c>
      <c r="E57" s="94">
        <v>21</v>
      </c>
      <c r="F57">
        <v>104</v>
      </c>
      <c r="G57">
        <v>0</v>
      </c>
      <c r="H57">
        <v>25</v>
      </c>
      <c r="I57" t="b">
        <v>0</v>
      </c>
    </row>
    <row r="58" spans="1:9">
      <c r="A58">
        <v>23</v>
      </c>
      <c r="B58" t="s">
        <v>49</v>
      </c>
      <c r="C58" t="s">
        <v>47</v>
      </c>
      <c r="D58" t="s">
        <v>48</v>
      </c>
      <c r="E58" s="94">
        <v>9</v>
      </c>
      <c r="F58">
        <v>61</v>
      </c>
      <c r="G58">
        <v>0</v>
      </c>
      <c r="H58">
        <v>25</v>
      </c>
      <c r="I58" t="b">
        <v>0</v>
      </c>
    </row>
    <row r="59" spans="1:9">
      <c r="A59">
        <v>64</v>
      </c>
      <c r="B59" t="s">
        <v>110</v>
      </c>
      <c r="C59" t="s">
        <v>57</v>
      </c>
      <c r="D59" t="s">
        <v>48</v>
      </c>
      <c r="E59" s="94">
        <v>33.25</v>
      </c>
      <c r="F59">
        <v>22</v>
      </c>
      <c r="G59">
        <v>80</v>
      </c>
      <c r="H59">
        <v>30</v>
      </c>
      <c r="I59" t="b">
        <v>0</v>
      </c>
    </row>
    <row r="60" spans="1:9">
      <c r="A60">
        <v>54</v>
      </c>
      <c r="B60" t="s">
        <v>95</v>
      </c>
      <c r="C60" t="s">
        <v>96</v>
      </c>
      <c r="D60" t="s">
        <v>26</v>
      </c>
      <c r="E60" s="94">
        <v>7.45</v>
      </c>
      <c r="F60">
        <v>21</v>
      </c>
      <c r="G60">
        <v>0</v>
      </c>
      <c r="H60">
        <v>10</v>
      </c>
      <c r="I60" t="b">
        <v>0</v>
      </c>
    </row>
    <row r="61" spans="1:9">
      <c r="A61">
        <v>55</v>
      </c>
      <c r="B61" t="s">
        <v>97</v>
      </c>
      <c r="C61" t="s">
        <v>96</v>
      </c>
      <c r="D61" t="s">
        <v>26</v>
      </c>
      <c r="E61" s="94">
        <v>24</v>
      </c>
      <c r="F61">
        <v>115</v>
      </c>
      <c r="G61">
        <v>0</v>
      </c>
      <c r="H61">
        <v>20</v>
      </c>
      <c r="I61" t="b">
        <v>0</v>
      </c>
    </row>
    <row r="62" spans="1:9">
      <c r="A62">
        <v>51</v>
      </c>
      <c r="B62" t="s">
        <v>91</v>
      </c>
      <c r="C62" t="s">
        <v>92</v>
      </c>
      <c r="D62" t="s">
        <v>22</v>
      </c>
      <c r="E62" s="94">
        <v>53</v>
      </c>
      <c r="F62">
        <v>20</v>
      </c>
      <c r="G62">
        <v>0</v>
      </c>
      <c r="H62">
        <v>10</v>
      </c>
      <c r="I62" t="b">
        <v>0</v>
      </c>
    </row>
    <row r="63" spans="1:9">
      <c r="A63">
        <v>7</v>
      </c>
      <c r="B63" t="s">
        <v>21</v>
      </c>
      <c r="C63" t="s">
        <v>20</v>
      </c>
      <c r="D63" t="s">
        <v>22</v>
      </c>
      <c r="E63" s="94">
        <v>30</v>
      </c>
      <c r="F63">
        <v>15</v>
      </c>
      <c r="G63">
        <v>0</v>
      </c>
      <c r="H63">
        <v>10</v>
      </c>
      <c r="I63" t="b">
        <v>0</v>
      </c>
    </row>
    <row r="64" spans="1:9">
      <c r="A64">
        <v>14</v>
      </c>
      <c r="B64" t="s">
        <v>35</v>
      </c>
      <c r="C64" t="s">
        <v>34</v>
      </c>
      <c r="D64" t="s">
        <v>22</v>
      </c>
      <c r="E64" s="94">
        <v>23.25</v>
      </c>
      <c r="F64">
        <v>35</v>
      </c>
      <c r="G64">
        <v>0</v>
      </c>
      <c r="H64">
        <v>0</v>
      </c>
      <c r="I64" t="b">
        <v>0</v>
      </c>
    </row>
    <row r="65" spans="1:9">
      <c r="A65">
        <v>74</v>
      </c>
      <c r="B65" t="s">
        <v>120</v>
      </c>
      <c r="C65" t="s">
        <v>25</v>
      </c>
      <c r="D65" t="s">
        <v>22</v>
      </c>
      <c r="E65" s="94">
        <v>10</v>
      </c>
      <c r="F65">
        <v>4</v>
      </c>
      <c r="G65">
        <v>20</v>
      </c>
      <c r="H65">
        <v>5</v>
      </c>
      <c r="I65" t="b">
        <v>0</v>
      </c>
    </row>
    <row r="66" spans="1:9">
      <c r="A66">
        <v>58</v>
      </c>
      <c r="B66" t="s">
        <v>101</v>
      </c>
      <c r="C66" t="s">
        <v>102</v>
      </c>
      <c r="D66" t="s">
        <v>28</v>
      </c>
      <c r="E66" s="94">
        <v>13.25</v>
      </c>
      <c r="F66">
        <v>62</v>
      </c>
      <c r="G66">
        <v>0</v>
      </c>
      <c r="H66">
        <v>20</v>
      </c>
      <c r="I66" t="b">
        <v>0</v>
      </c>
    </row>
    <row r="67" spans="1:9">
      <c r="A67">
        <v>45</v>
      </c>
      <c r="B67" t="s">
        <v>82</v>
      </c>
      <c r="C67" t="s">
        <v>83</v>
      </c>
      <c r="D67" t="s">
        <v>28</v>
      </c>
      <c r="E67" s="94">
        <v>9.5</v>
      </c>
      <c r="F67">
        <v>5</v>
      </c>
      <c r="G67">
        <v>70</v>
      </c>
      <c r="H67">
        <v>15</v>
      </c>
      <c r="I67" t="b">
        <v>0</v>
      </c>
    </row>
    <row r="68" spans="1:9">
      <c r="A68">
        <v>46</v>
      </c>
      <c r="B68" t="s">
        <v>84</v>
      </c>
      <c r="C68" t="s">
        <v>83</v>
      </c>
      <c r="D68" t="s">
        <v>28</v>
      </c>
      <c r="E68" s="94">
        <v>12</v>
      </c>
      <c r="F68">
        <v>95</v>
      </c>
      <c r="G68">
        <v>0</v>
      </c>
      <c r="H68">
        <v>0</v>
      </c>
      <c r="I68" t="b">
        <v>0</v>
      </c>
    </row>
    <row r="69" spans="1:9">
      <c r="A69">
        <v>13</v>
      </c>
      <c r="B69" t="s">
        <v>33</v>
      </c>
      <c r="C69" t="s">
        <v>34</v>
      </c>
      <c r="D69" t="s">
        <v>28</v>
      </c>
      <c r="E69" s="94">
        <v>6</v>
      </c>
      <c r="F69">
        <v>24</v>
      </c>
      <c r="G69">
        <v>0</v>
      </c>
      <c r="H69">
        <v>5</v>
      </c>
      <c r="I69" t="b">
        <v>0</v>
      </c>
    </row>
    <row r="70" spans="1:9">
      <c r="A70">
        <v>40</v>
      </c>
      <c r="B70" t="s">
        <v>75</v>
      </c>
      <c r="C70" t="s">
        <v>76</v>
      </c>
      <c r="D70" t="s">
        <v>28</v>
      </c>
      <c r="E70" s="94">
        <v>18.4</v>
      </c>
      <c r="F70">
        <v>123</v>
      </c>
      <c r="G70">
        <v>0</v>
      </c>
      <c r="H70">
        <v>30</v>
      </c>
      <c r="I70" t="b">
        <v>0</v>
      </c>
    </row>
    <row r="71" spans="1:9">
      <c r="A71">
        <v>41</v>
      </c>
      <c r="B71" t="s">
        <v>77</v>
      </c>
      <c r="C71" t="s">
        <v>76</v>
      </c>
      <c r="D71" t="s">
        <v>28</v>
      </c>
      <c r="E71" s="94">
        <v>9.65</v>
      </c>
      <c r="F71">
        <v>85</v>
      </c>
      <c r="G71">
        <v>0</v>
      </c>
      <c r="H71">
        <v>10</v>
      </c>
      <c r="I71" t="b">
        <v>0</v>
      </c>
    </row>
    <row r="72" spans="1:9">
      <c r="A72">
        <v>30</v>
      </c>
      <c r="B72" t="s">
        <v>59</v>
      </c>
      <c r="C72" t="s">
        <v>60</v>
      </c>
      <c r="D72" t="s">
        <v>28</v>
      </c>
      <c r="E72" s="94">
        <v>25.89</v>
      </c>
      <c r="F72">
        <v>10</v>
      </c>
      <c r="G72">
        <v>0</v>
      </c>
      <c r="H72">
        <v>15</v>
      </c>
      <c r="I72" t="b">
        <v>0</v>
      </c>
    </row>
    <row r="73" spans="1:9">
      <c r="A73">
        <v>18</v>
      </c>
      <c r="B73" t="s">
        <v>41</v>
      </c>
      <c r="C73" t="s">
        <v>38</v>
      </c>
      <c r="D73" t="s">
        <v>28</v>
      </c>
      <c r="E73" s="94">
        <v>62.5</v>
      </c>
      <c r="F73">
        <v>42</v>
      </c>
      <c r="G73">
        <v>0</v>
      </c>
      <c r="H73">
        <v>0</v>
      </c>
      <c r="I73" t="b">
        <v>0</v>
      </c>
    </row>
    <row r="74" spans="1:9">
      <c r="A74">
        <v>36</v>
      </c>
      <c r="B74" t="s">
        <v>69</v>
      </c>
      <c r="C74" t="s">
        <v>70</v>
      </c>
      <c r="D74" t="s">
        <v>28</v>
      </c>
      <c r="E74" s="94">
        <v>19</v>
      </c>
      <c r="F74">
        <v>112</v>
      </c>
      <c r="G74">
        <v>0</v>
      </c>
      <c r="H74">
        <v>20</v>
      </c>
      <c r="I74" t="b">
        <v>0</v>
      </c>
    </row>
    <row r="75" spans="1:9">
      <c r="A75">
        <v>37</v>
      </c>
      <c r="B75" t="s">
        <v>71</v>
      </c>
      <c r="C75" t="s">
        <v>70</v>
      </c>
      <c r="D75" t="s">
        <v>28</v>
      </c>
      <c r="E75" s="94">
        <v>26</v>
      </c>
      <c r="F75">
        <v>11</v>
      </c>
      <c r="G75">
        <v>50</v>
      </c>
      <c r="H75">
        <v>25</v>
      </c>
      <c r="I75" t="b">
        <v>0</v>
      </c>
    </row>
    <row r="76" spans="1:9">
      <c r="A76">
        <v>73</v>
      </c>
      <c r="B76" t="s">
        <v>119</v>
      </c>
      <c r="C76" t="s">
        <v>70</v>
      </c>
      <c r="D76" t="s">
        <v>28</v>
      </c>
      <c r="E76" s="94">
        <v>15</v>
      </c>
      <c r="F76">
        <v>101</v>
      </c>
      <c r="G76">
        <v>0</v>
      </c>
      <c r="H76">
        <v>5</v>
      </c>
      <c r="I76" t="b">
        <v>0</v>
      </c>
    </row>
    <row r="77" spans="1:9">
      <c r="A77">
        <v>10</v>
      </c>
      <c r="B77" t="s">
        <v>27</v>
      </c>
      <c r="C77" t="s">
        <v>25</v>
      </c>
      <c r="D77" t="s">
        <v>28</v>
      </c>
      <c r="E77" s="94">
        <v>31</v>
      </c>
      <c r="F77">
        <v>31</v>
      </c>
      <c r="G77">
        <v>0</v>
      </c>
      <c r="H77">
        <v>0</v>
      </c>
      <c r="I77" t="b">
        <v>0</v>
      </c>
    </row>
    <row r="78" spans="1:9">
      <c r="A78">
        <v>24</v>
      </c>
      <c r="B78" t="s">
        <v>50</v>
      </c>
      <c r="C78" t="s">
        <v>51</v>
      </c>
      <c r="D78" t="s">
        <v>12</v>
      </c>
      <c r="E78" s="94">
        <v>4.5</v>
      </c>
      <c r="F78">
        <v>20</v>
      </c>
      <c r="G78">
        <v>0</v>
      </c>
      <c r="H78">
        <v>0</v>
      </c>
      <c r="I78" t="b">
        <v>1</v>
      </c>
    </row>
    <row r="79" spans="1:9">
      <c r="A79">
        <v>5</v>
      </c>
      <c r="B79" t="s">
        <v>18</v>
      </c>
      <c r="C79" t="s">
        <v>17</v>
      </c>
      <c r="D79" t="s">
        <v>15</v>
      </c>
      <c r="E79" s="94">
        <v>21.35</v>
      </c>
      <c r="F79">
        <v>0</v>
      </c>
      <c r="G79">
        <v>0</v>
      </c>
      <c r="H79">
        <v>0</v>
      </c>
      <c r="I79" t="b">
        <v>1</v>
      </c>
    </row>
    <row r="80" spans="1:9">
      <c r="A80">
        <v>42</v>
      </c>
      <c r="B80" t="s">
        <v>78</v>
      </c>
      <c r="C80" t="s">
        <v>79</v>
      </c>
      <c r="D80" t="s">
        <v>48</v>
      </c>
      <c r="E80" s="94">
        <v>14</v>
      </c>
      <c r="F80">
        <v>26</v>
      </c>
      <c r="G80">
        <v>0</v>
      </c>
      <c r="H80">
        <v>0</v>
      </c>
      <c r="I80" t="b">
        <v>1</v>
      </c>
    </row>
    <row r="81" spans="1:9">
      <c r="A81">
        <v>53</v>
      </c>
      <c r="B81" t="s">
        <v>94</v>
      </c>
      <c r="C81" t="s">
        <v>92</v>
      </c>
      <c r="D81" t="s">
        <v>26</v>
      </c>
      <c r="E81" s="94">
        <v>32.8</v>
      </c>
      <c r="F81">
        <v>0</v>
      </c>
      <c r="G81">
        <v>0</v>
      </c>
      <c r="H81">
        <v>0</v>
      </c>
      <c r="I81" t="b">
        <v>1</v>
      </c>
    </row>
    <row r="82" spans="1:9">
      <c r="A82">
        <v>17</v>
      </c>
      <c r="B82" t="s">
        <v>40</v>
      </c>
      <c r="C82" t="s">
        <v>38</v>
      </c>
      <c r="D82" t="s">
        <v>26</v>
      </c>
      <c r="E82" s="94">
        <v>39</v>
      </c>
      <c r="F82">
        <v>0</v>
      </c>
      <c r="G82">
        <v>0</v>
      </c>
      <c r="H82">
        <v>0</v>
      </c>
      <c r="I82" t="b">
        <v>1</v>
      </c>
    </row>
    <row r="83" spans="1:9">
      <c r="A83">
        <v>29</v>
      </c>
      <c r="B83" t="s">
        <v>58</v>
      </c>
      <c r="C83" t="s">
        <v>57</v>
      </c>
      <c r="D83" t="s">
        <v>26</v>
      </c>
      <c r="E83" s="94">
        <v>123.79</v>
      </c>
      <c r="F83">
        <v>0</v>
      </c>
      <c r="G83">
        <v>0</v>
      </c>
      <c r="H83">
        <v>0</v>
      </c>
      <c r="I83" t="b">
        <v>1</v>
      </c>
    </row>
    <row r="84" spans="1:9">
      <c r="A84">
        <v>9</v>
      </c>
      <c r="B84" t="s">
        <v>24</v>
      </c>
      <c r="C84" t="s">
        <v>25</v>
      </c>
      <c r="D84" t="s">
        <v>26</v>
      </c>
      <c r="E84" s="94">
        <v>97</v>
      </c>
      <c r="F84">
        <v>29</v>
      </c>
      <c r="G84">
        <v>0</v>
      </c>
      <c r="H84">
        <v>0</v>
      </c>
      <c r="I84" t="b">
        <v>1</v>
      </c>
    </row>
    <row r="85" spans="1:9">
      <c r="A85">
        <v>28</v>
      </c>
      <c r="B85" t="s">
        <v>56</v>
      </c>
      <c r="C85" t="s">
        <v>57</v>
      </c>
      <c r="D85" t="s">
        <v>22</v>
      </c>
      <c r="E85" s="94">
        <v>45.6</v>
      </c>
      <c r="F85">
        <v>26</v>
      </c>
      <c r="G85">
        <v>0</v>
      </c>
      <c r="H85">
        <v>0</v>
      </c>
      <c r="I85" t="b">
        <v>1</v>
      </c>
    </row>
  </sheetData>
  <mergeCells count="1">
    <mergeCell ref="B1:H1"/>
  </mergeCells>
  <pageMargins left="0.7" right="0.7" top="0.75" bottom="0.75" header="0.3" footer="0.3"/>
  <pageSetup paperSize="1" orientation="portrait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3"/>
  <sheetViews>
    <sheetView workbookViewId="0">
      <selection activeCell="F13" sqref="F13"/>
    </sheetView>
  </sheetViews>
  <sheetFormatPr defaultColWidth="9" defaultRowHeight="14.4"/>
  <cols>
    <col min="1" max="1" width="9.88888888888889" customWidth="1"/>
    <col min="2" max="2" width="30.3333333333333" customWidth="1"/>
    <col min="3" max="3" width="12" customWidth="1"/>
    <col min="4" max="4" width="14.6666666666667" customWidth="1"/>
    <col min="5" max="5" width="14.1111111111111" customWidth="1"/>
    <col min="6" max="6" width="16" customWidth="1"/>
    <col min="7" max="7" width="8.66666666666667" customWidth="1"/>
    <col min="8" max="8" width="30.3333333333333" customWidth="1"/>
    <col min="9" max="9" width="13.6666666666667" customWidth="1"/>
  </cols>
  <sheetData>
    <row r="1" ht="23.4" spans="1:9">
      <c r="B1" s="16" t="s">
        <v>125</v>
      </c>
      <c r="C1" s="16"/>
      <c r="D1" s="16"/>
      <c r="E1" s="16"/>
      <c r="F1" s="16"/>
      <c r="G1" s="16"/>
    </row>
    <row r="13" spans="1:9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134</v>
      </c>
    </row>
    <row r="14" spans="1:9">
      <c r="A14" s="69">
        <v>10250</v>
      </c>
      <c r="B14" s="69" t="s">
        <v>135</v>
      </c>
      <c r="C14" s="70">
        <v>35254</v>
      </c>
      <c r="D14" s="70">
        <v>35282</v>
      </c>
      <c r="E14" s="70">
        <v>35258</v>
      </c>
      <c r="F14" s="69" t="s">
        <v>136</v>
      </c>
      <c r="G14" s="69">
        <v>65.83</v>
      </c>
      <c r="H14" s="69" t="s">
        <v>135</v>
      </c>
      <c r="I14" t="s">
        <v>137</v>
      </c>
    </row>
    <row r="15" spans="1:9">
      <c r="A15" s="69">
        <v>10252</v>
      </c>
      <c r="B15" s="69" t="s">
        <v>138</v>
      </c>
      <c r="C15" s="70">
        <v>35255</v>
      </c>
      <c r="D15" s="70">
        <v>35283</v>
      </c>
      <c r="E15" s="70">
        <v>35257</v>
      </c>
      <c r="F15" s="69" t="s">
        <v>136</v>
      </c>
      <c r="G15" s="69">
        <v>51.3</v>
      </c>
      <c r="H15" s="69" t="s">
        <v>138</v>
      </c>
      <c r="I15" t="s">
        <v>139</v>
      </c>
    </row>
    <row r="16" spans="1:9">
      <c r="A16" s="69">
        <v>10253</v>
      </c>
      <c r="B16" s="69" t="s">
        <v>135</v>
      </c>
      <c r="C16" s="70">
        <v>35256</v>
      </c>
      <c r="D16" s="70">
        <v>35270</v>
      </c>
      <c r="E16" s="70">
        <v>35262</v>
      </c>
      <c r="F16" s="69" t="s">
        <v>136</v>
      </c>
      <c r="G16" s="69">
        <v>58.17</v>
      </c>
      <c r="H16" s="69" t="s">
        <v>135</v>
      </c>
      <c r="I16" t="s">
        <v>137</v>
      </c>
    </row>
    <row r="17" spans="1:9">
      <c r="A17" s="69">
        <v>10254</v>
      </c>
      <c r="B17" s="69" t="s">
        <v>140</v>
      </c>
      <c r="C17" s="70">
        <v>35257</v>
      </c>
      <c r="D17" s="70">
        <v>35285</v>
      </c>
      <c r="E17" s="70">
        <v>35269</v>
      </c>
      <c r="F17" s="69" t="s">
        <v>136</v>
      </c>
      <c r="G17" s="69">
        <v>22.98</v>
      </c>
      <c r="H17" s="69" t="s">
        <v>140</v>
      </c>
      <c r="I17" t="s">
        <v>141</v>
      </c>
    </row>
    <row r="18" spans="1:9">
      <c r="A18" s="69">
        <v>10256</v>
      </c>
      <c r="B18" s="69" t="s">
        <v>142</v>
      </c>
      <c r="C18" s="70">
        <v>35261</v>
      </c>
      <c r="D18" s="70">
        <v>35289</v>
      </c>
      <c r="E18" s="70">
        <v>35263</v>
      </c>
      <c r="F18" s="69" t="s">
        <v>136</v>
      </c>
      <c r="G18" s="69">
        <v>13.97</v>
      </c>
      <c r="H18" s="69" t="s">
        <v>142</v>
      </c>
      <c r="I18" t="s">
        <v>137</v>
      </c>
    </row>
    <row r="19" spans="1:9">
      <c r="A19" s="69">
        <v>10261</v>
      </c>
      <c r="B19" s="69" t="s">
        <v>143</v>
      </c>
      <c r="C19" s="70">
        <v>35265</v>
      </c>
      <c r="D19" s="70">
        <v>35293</v>
      </c>
      <c r="E19" s="70">
        <v>35276</v>
      </c>
      <c r="F19" s="69" t="s">
        <v>136</v>
      </c>
      <c r="G19" s="69">
        <v>3.05</v>
      </c>
      <c r="H19" s="69" t="s">
        <v>143</v>
      </c>
      <c r="I19" t="s">
        <v>137</v>
      </c>
    </row>
    <row r="20" spans="1:9">
      <c r="A20" s="69">
        <v>10271</v>
      </c>
      <c r="B20" s="69" t="s">
        <v>144</v>
      </c>
      <c r="C20" s="70">
        <v>35278</v>
      </c>
      <c r="D20" s="70">
        <v>35306</v>
      </c>
      <c r="E20" s="70">
        <v>35307</v>
      </c>
      <c r="F20" s="69" t="s">
        <v>136</v>
      </c>
      <c r="G20" s="69">
        <v>4.54</v>
      </c>
      <c r="H20" s="69" t="s">
        <v>144</v>
      </c>
      <c r="I20" t="s">
        <v>145</v>
      </c>
    </row>
    <row r="21" spans="1:9">
      <c r="A21" s="69">
        <v>10272</v>
      </c>
      <c r="B21" s="69" t="s">
        <v>146</v>
      </c>
      <c r="C21" s="70">
        <v>35279</v>
      </c>
      <c r="D21" s="70">
        <v>35307</v>
      </c>
      <c r="E21" s="70">
        <v>35283</v>
      </c>
      <c r="F21" s="69" t="s">
        <v>136</v>
      </c>
      <c r="G21" s="69">
        <v>98.03</v>
      </c>
      <c r="H21" s="69" t="s">
        <v>146</v>
      </c>
      <c r="I21" t="s">
        <v>145</v>
      </c>
    </row>
    <row r="22" spans="1:9">
      <c r="A22" s="69">
        <v>10278</v>
      </c>
      <c r="B22" s="69" t="s">
        <v>147</v>
      </c>
      <c r="C22" s="70">
        <v>35289</v>
      </c>
      <c r="D22" s="70">
        <v>35317</v>
      </c>
      <c r="E22" s="70">
        <v>35293</v>
      </c>
      <c r="F22" s="69" t="s">
        <v>136</v>
      </c>
      <c r="G22" s="69">
        <v>92.69</v>
      </c>
      <c r="H22" s="69" t="s">
        <v>147</v>
      </c>
      <c r="I22" t="s">
        <v>148</v>
      </c>
    </row>
    <row r="23" spans="1:9">
      <c r="A23" s="69">
        <v>10279</v>
      </c>
      <c r="B23" s="69" t="s">
        <v>149</v>
      </c>
      <c r="C23" s="70">
        <v>35290</v>
      </c>
      <c r="D23" s="70">
        <v>35318</v>
      </c>
      <c r="E23" s="70">
        <v>35293</v>
      </c>
      <c r="F23" s="69" t="s">
        <v>136</v>
      </c>
      <c r="G23" s="69">
        <v>25.83</v>
      </c>
      <c r="H23" s="69" t="s">
        <v>149</v>
      </c>
      <c r="I23" t="s">
        <v>150</v>
      </c>
    </row>
    <row r="24" spans="1:9">
      <c r="A24" s="69">
        <v>10285</v>
      </c>
      <c r="B24" s="69" t="s">
        <v>151</v>
      </c>
      <c r="C24" s="70">
        <v>35297</v>
      </c>
      <c r="D24" s="70">
        <v>35325</v>
      </c>
      <c r="E24" s="70">
        <v>35303</v>
      </c>
      <c r="F24" s="69" t="s">
        <v>136</v>
      </c>
      <c r="G24" s="69">
        <v>76.83</v>
      </c>
      <c r="H24" s="69" t="s">
        <v>151</v>
      </c>
      <c r="I24" t="s">
        <v>150</v>
      </c>
    </row>
    <row r="25" spans="1:9">
      <c r="A25" s="69">
        <v>10291</v>
      </c>
      <c r="B25" s="69" t="s">
        <v>143</v>
      </c>
      <c r="C25" s="70">
        <v>35304</v>
      </c>
      <c r="D25" s="70">
        <v>35332</v>
      </c>
      <c r="E25" s="70">
        <v>35312</v>
      </c>
      <c r="F25" s="69" t="s">
        <v>136</v>
      </c>
      <c r="G25" s="69">
        <v>6.4</v>
      </c>
      <c r="H25" s="69" t="s">
        <v>143</v>
      </c>
      <c r="I25" t="s">
        <v>137</v>
      </c>
    </row>
    <row r="26" spans="1:9">
      <c r="A26" s="69">
        <v>10292</v>
      </c>
      <c r="B26" s="69" t="s">
        <v>152</v>
      </c>
      <c r="C26" s="70">
        <v>35305</v>
      </c>
      <c r="D26" s="70">
        <v>35333</v>
      </c>
      <c r="E26" s="70">
        <v>35310</v>
      </c>
      <c r="F26" s="69" t="s">
        <v>136</v>
      </c>
      <c r="G26" s="69">
        <v>1.35</v>
      </c>
      <c r="H26" s="69" t="s">
        <v>152</v>
      </c>
      <c r="I26" t="s">
        <v>137</v>
      </c>
    </row>
    <row r="27" spans="1:9">
      <c r="A27" s="69">
        <v>10294</v>
      </c>
      <c r="B27" s="69" t="s">
        <v>146</v>
      </c>
      <c r="C27" s="70">
        <v>35307</v>
      </c>
      <c r="D27" s="70">
        <v>35335</v>
      </c>
      <c r="E27" s="70">
        <v>35313</v>
      </c>
      <c r="F27" s="69" t="s">
        <v>136</v>
      </c>
      <c r="G27" s="69">
        <v>147.26</v>
      </c>
      <c r="H27" s="69" t="s">
        <v>146</v>
      </c>
      <c r="I27" t="s">
        <v>145</v>
      </c>
    </row>
    <row r="28" spans="1:9">
      <c r="A28" s="69">
        <v>10295</v>
      </c>
      <c r="B28" s="69" t="s">
        <v>153</v>
      </c>
      <c r="C28" s="70">
        <v>35310</v>
      </c>
      <c r="D28" s="70">
        <v>35338</v>
      </c>
      <c r="E28" s="70">
        <v>35318</v>
      </c>
      <c r="F28" s="69" t="s">
        <v>136</v>
      </c>
      <c r="G28" s="69">
        <v>1.15</v>
      </c>
      <c r="H28" s="69" t="s">
        <v>153</v>
      </c>
      <c r="I28" t="s">
        <v>154</v>
      </c>
    </row>
    <row r="29" spans="1:9">
      <c r="A29" s="69">
        <v>10297</v>
      </c>
      <c r="B29" s="69" t="s">
        <v>155</v>
      </c>
      <c r="C29" s="70">
        <v>35312</v>
      </c>
      <c r="D29" s="70">
        <v>35354</v>
      </c>
      <c r="E29" s="70">
        <v>35318</v>
      </c>
      <c r="F29" s="69" t="s">
        <v>136</v>
      </c>
      <c r="G29" s="69">
        <v>5.74</v>
      </c>
      <c r="H29" s="69" t="s">
        <v>155</v>
      </c>
      <c r="I29" t="s">
        <v>154</v>
      </c>
    </row>
    <row r="30" spans="1:9">
      <c r="A30" s="69">
        <v>10298</v>
      </c>
      <c r="B30" s="69" t="s">
        <v>156</v>
      </c>
      <c r="C30" s="70">
        <v>35313</v>
      </c>
      <c r="D30" s="70">
        <v>35341</v>
      </c>
      <c r="E30" s="70">
        <v>35319</v>
      </c>
      <c r="F30" s="69" t="s">
        <v>136</v>
      </c>
      <c r="G30" s="69">
        <v>168.22</v>
      </c>
      <c r="H30" s="69" t="s">
        <v>156</v>
      </c>
      <c r="I30" t="s">
        <v>157</v>
      </c>
    </row>
    <row r="31" spans="1:9">
      <c r="A31" s="69">
        <v>10299</v>
      </c>
      <c r="B31" s="69" t="s">
        <v>158</v>
      </c>
      <c r="C31" s="70">
        <v>35314</v>
      </c>
      <c r="D31" s="70">
        <v>35342</v>
      </c>
      <c r="E31" s="70">
        <v>35321</v>
      </c>
      <c r="F31" s="69" t="s">
        <v>136</v>
      </c>
      <c r="G31" s="69">
        <v>29.76</v>
      </c>
      <c r="H31" s="69" t="s">
        <v>158</v>
      </c>
      <c r="I31" t="s">
        <v>137</v>
      </c>
    </row>
    <row r="32" spans="1:9">
      <c r="A32" s="69">
        <v>10300</v>
      </c>
      <c r="B32" s="69" t="s">
        <v>159</v>
      </c>
      <c r="C32" s="70">
        <v>35317</v>
      </c>
      <c r="D32" s="70">
        <v>35345</v>
      </c>
      <c r="E32" s="70">
        <v>35326</v>
      </c>
      <c r="F32" s="69" t="s">
        <v>136</v>
      </c>
      <c r="G32" s="69">
        <v>17.68</v>
      </c>
      <c r="H32" s="69" t="s">
        <v>159</v>
      </c>
      <c r="I32" t="s">
        <v>160</v>
      </c>
    </row>
    <row r="33" spans="1:9">
      <c r="A33" s="69">
        <v>10301</v>
      </c>
      <c r="B33" s="69" t="s">
        <v>161</v>
      </c>
      <c r="C33" s="70">
        <v>35317</v>
      </c>
      <c r="D33" s="70">
        <v>35345</v>
      </c>
      <c r="E33" s="70">
        <v>35325</v>
      </c>
      <c r="F33" s="69" t="s">
        <v>136</v>
      </c>
      <c r="G33" s="69">
        <v>45.08</v>
      </c>
      <c r="H33" s="69" t="s">
        <v>161</v>
      </c>
      <c r="I33" t="s">
        <v>150</v>
      </c>
    </row>
    <row r="34" spans="1:9">
      <c r="A34" s="69">
        <v>10302</v>
      </c>
      <c r="B34" s="69" t="s">
        <v>138</v>
      </c>
      <c r="C34" s="70">
        <v>35318</v>
      </c>
      <c r="D34" s="70">
        <v>35346</v>
      </c>
      <c r="E34" s="70">
        <v>35347</v>
      </c>
      <c r="F34" s="69" t="s">
        <v>136</v>
      </c>
      <c r="G34" s="69">
        <v>6.27</v>
      </c>
      <c r="H34" s="69" t="s">
        <v>138</v>
      </c>
      <c r="I34" t="s">
        <v>139</v>
      </c>
    </row>
    <row r="35" spans="1:9">
      <c r="A35" s="69">
        <v>10303</v>
      </c>
      <c r="B35" s="69" t="s">
        <v>162</v>
      </c>
      <c r="C35" s="70">
        <v>35319</v>
      </c>
      <c r="D35" s="70">
        <v>35347</v>
      </c>
      <c r="E35" s="70">
        <v>35326</v>
      </c>
      <c r="F35" s="69" t="s">
        <v>136</v>
      </c>
      <c r="G35" s="69">
        <v>107.83</v>
      </c>
      <c r="H35" s="69" t="s">
        <v>162</v>
      </c>
      <c r="I35" t="s">
        <v>163</v>
      </c>
    </row>
    <row r="36" spans="1:9">
      <c r="A36" s="69">
        <v>10304</v>
      </c>
      <c r="B36" s="69" t="s">
        <v>164</v>
      </c>
      <c r="C36" s="70">
        <v>35320</v>
      </c>
      <c r="D36" s="70">
        <v>35348</v>
      </c>
      <c r="E36" s="70">
        <v>35325</v>
      </c>
      <c r="F36" s="69" t="s">
        <v>136</v>
      </c>
      <c r="G36" s="69">
        <v>63.79</v>
      </c>
      <c r="H36" s="69" t="s">
        <v>164</v>
      </c>
      <c r="I36" t="s">
        <v>165</v>
      </c>
    </row>
    <row r="37" spans="1:9">
      <c r="A37" s="69">
        <v>10307</v>
      </c>
      <c r="B37" s="69" t="s">
        <v>166</v>
      </c>
      <c r="C37" s="70">
        <v>35325</v>
      </c>
      <c r="D37" s="70">
        <v>35353</v>
      </c>
      <c r="E37" s="70">
        <v>35333</v>
      </c>
      <c r="F37" s="69" t="s">
        <v>136</v>
      </c>
      <c r="G37" s="69">
        <v>0.56</v>
      </c>
      <c r="H37" s="69" t="s">
        <v>166</v>
      </c>
      <c r="I37" t="s">
        <v>145</v>
      </c>
    </row>
    <row r="38" spans="1:9">
      <c r="A38" s="69">
        <v>10310</v>
      </c>
      <c r="B38" s="69" t="s">
        <v>167</v>
      </c>
      <c r="C38" s="70">
        <v>35328</v>
      </c>
      <c r="D38" s="70">
        <v>35356</v>
      </c>
      <c r="E38" s="70">
        <v>35335</v>
      </c>
      <c r="F38" s="69" t="s">
        <v>136</v>
      </c>
      <c r="G38" s="69">
        <v>17.52</v>
      </c>
      <c r="H38" s="69" t="s">
        <v>167</v>
      </c>
      <c r="I38" t="s">
        <v>145</v>
      </c>
    </row>
    <row r="39" spans="1:9">
      <c r="A39" s="69">
        <v>10312</v>
      </c>
      <c r="B39" s="69" t="s">
        <v>161</v>
      </c>
      <c r="C39" s="70">
        <v>35331</v>
      </c>
      <c r="D39" s="70">
        <v>35359</v>
      </c>
      <c r="E39" s="70">
        <v>35341</v>
      </c>
      <c r="F39" s="69" t="s">
        <v>136</v>
      </c>
      <c r="G39" s="69">
        <v>40.26</v>
      </c>
      <c r="H39" s="69" t="s">
        <v>161</v>
      </c>
      <c r="I39" t="s">
        <v>150</v>
      </c>
    </row>
    <row r="40" spans="1:9">
      <c r="A40" s="69">
        <v>10313</v>
      </c>
      <c r="B40" s="69" t="s">
        <v>151</v>
      </c>
      <c r="C40" s="70">
        <v>35332</v>
      </c>
      <c r="D40" s="70">
        <v>35360</v>
      </c>
      <c r="E40" s="70">
        <v>35342</v>
      </c>
      <c r="F40" s="69" t="s">
        <v>136</v>
      </c>
      <c r="G40" s="69">
        <v>1.96</v>
      </c>
      <c r="H40" s="69" t="s">
        <v>151</v>
      </c>
      <c r="I40" t="s">
        <v>150</v>
      </c>
    </row>
    <row r="41" spans="1:9">
      <c r="A41" s="69">
        <v>10314</v>
      </c>
      <c r="B41" s="69" t="s">
        <v>146</v>
      </c>
      <c r="C41" s="70">
        <v>35333</v>
      </c>
      <c r="D41" s="70">
        <v>35361</v>
      </c>
      <c r="E41" s="70">
        <v>35342</v>
      </c>
      <c r="F41" s="69" t="s">
        <v>136</v>
      </c>
      <c r="G41" s="69">
        <v>74.16</v>
      </c>
      <c r="H41" s="69" t="s">
        <v>146</v>
      </c>
      <c r="I41" t="s">
        <v>145</v>
      </c>
    </row>
    <row r="42" spans="1:9">
      <c r="A42" s="69">
        <v>10315</v>
      </c>
      <c r="B42" s="69" t="s">
        <v>168</v>
      </c>
      <c r="C42" s="70">
        <v>35334</v>
      </c>
      <c r="D42" s="70">
        <v>35362</v>
      </c>
      <c r="E42" s="70">
        <v>35341</v>
      </c>
      <c r="F42" s="69" t="s">
        <v>136</v>
      </c>
      <c r="G42" s="69">
        <v>41.76</v>
      </c>
      <c r="H42" s="69" t="s">
        <v>168</v>
      </c>
      <c r="I42" t="s">
        <v>169</v>
      </c>
    </row>
    <row r="43" spans="1:9">
      <c r="A43" s="69">
        <v>10318</v>
      </c>
      <c r="B43" s="69" t="s">
        <v>168</v>
      </c>
      <c r="C43" s="70">
        <v>35339</v>
      </c>
      <c r="D43" s="70">
        <v>35367</v>
      </c>
      <c r="E43" s="70">
        <v>35342</v>
      </c>
      <c r="F43" s="69" t="s">
        <v>136</v>
      </c>
      <c r="G43" s="69">
        <v>4.73</v>
      </c>
      <c r="H43" s="69" t="s">
        <v>168</v>
      </c>
      <c r="I43" t="s">
        <v>169</v>
      </c>
    </row>
    <row r="44" spans="1:9">
      <c r="A44" s="69">
        <v>10321</v>
      </c>
      <c r="B44" s="69" t="s">
        <v>168</v>
      </c>
      <c r="C44" s="70">
        <v>35341</v>
      </c>
      <c r="D44" s="70">
        <v>35369</v>
      </c>
      <c r="E44" s="70">
        <v>35349</v>
      </c>
      <c r="F44" s="69" t="s">
        <v>136</v>
      </c>
      <c r="G44" s="69">
        <v>3.43</v>
      </c>
      <c r="H44" s="69" t="s">
        <v>168</v>
      </c>
      <c r="I44" t="s">
        <v>169</v>
      </c>
    </row>
    <row r="45" spans="1:9">
      <c r="A45" s="69">
        <v>10326</v>
      </c>
      <c r="B45" s="69" t="s">
        <v>170</v>
      </c>
      <c r="C45" s="70">
        <v>35348</v>
      </c>
      <c r="D45" s="70">
        <v>35376</v>
      </c>
      <c r="E45" s="70">
        <v>35352</v>
      </c>
      <c r="F45" s="69" t="s">
        <v>136</v>
      </c>
      <c r="G45" s="69">
        <v>77.92</v>
      </c>
      <c r="H45" s="69" t="s">
        <v>170</v>
      </c>
      <c r="I45" t="s">
        <v>163</v>
      </c>
    </row>
    <row r="46" spans="1:9">
      <c r="A46" s="69">
        <v>10329</v>
      </c>
      <c r="B46" s="69" t="s">
        <v>144</v>
      </c>
      <c r="C46" s="70">
        <v>35353</v>
      </c>
      <c r="D46" s="70">
        <v>35395</v>
      </c>
      <c r="E46" s="70">
        <v>35361</v>
      </c>
      <c r="F46" s="69" t="s">
        <v>136</v>
      </c>
      <c r="G46" s="69">
        <v>191.67</v>
      </c>
      <c r="H46" s="69" t="s">
        <v>144</v>
      </c>
      <c r="I46" t="s">
        <v>145</v>
      </c>
    </row>
    <row r="47" spans="1:9">
      <c r="A47" s="69">
        <v>10332</v>
      </c>
      <c r="B47" s="69" t="s">
        <v>171</v>
      </c>
      <c r="C47" s="70">
        <v>35355</v>
      </c>
      <c r="D47" s="70">
        <v>35397</v>
      </c>
      <c r="E47" s="70">
        <v>35359</v>
      </c>
      <c r="F47" s="69" t="s">
        <v>136</v>
      </c>
      <c r="G47" s="69">
        <v>52.84</v>
      </c>
      <c r="H47" s="69" t="s">
        <v>171</v>
      </c>
      <c r="I47" t="s">
        <v>172</v>
      </c>
    </row>
    <row r="48" spans="1:9">
      <c r="A48" s="69">
        <v>10334</v>
      </c>
      <c r="B48" s="69" t="s">
        <v>173</v>
      </c>
      <c r="C48" s="70">
        <v>35359</v>
      </c>
      <c r="D48" s="70">
        <v>35387</v>
      </c>
      <c r="E48" s="70">
        <v>35366</v>
      </c>
      <c r="F48" s="69" t="s">
        <v>136</v>
      </c>
      <c r="G48" s="69">
        <v>8.56</v>
      </c>
      <c r="H48" s="69" t="s">
        <v>173</v>
      </c>
      <c r="I48" t="s">
        <v>154</v>
      </c>
    </row>
    <row r="49" spans="1:9">
      <c r="A49" s="69">
        <v>10335</v>
      </c>
      <c r="B49" s="69" t="s">
        <v>156</v>
      </c>
      <c r="C49" s="70">
        <v>35360</v>
      </c>
      <c r="D49" s="70">
        <v>35388</v>
      </c>
      <c r="E49" s="70">
        <v>35362</v>
      </c>
      <c r="F49" s="69" t="s">
        <v>136</v>
      </c>
      <c r="G49" s="69">
        <v>42.11</v>
      </c>
      <c r="H49" s="69" t="s">
        <v>156</v>
      </c>
      <c r="I49" t="s">
        <v>157</v>
      </c>
    </row>
    <row r="50" spans="1:9">
      <c r="A50" s="69">
        <v>10336</v>
      </c>
      <c r="B50" s="69" t="s">
        <v>174</v>
      </c>
      <c r="C50" s="70">
        <v>35361</v>
      </c>
      <c r="D50" s="70">
        <v>35389</v>
      </c>
      <c r="E50" s="70">
        <v>35363</v>
      </c>
      <c r="F50" s="69" t="s">
        <v>136</v>
      </c>
      <c r="G50" s="69">
        <v>15.51</v>
      </c>
      <c r="H50" s="69" t="s">
        <v>174</v>
      </c>
      <c r="I50" t="s">
        <v>175</v>
      </c>
    </row>
    <row r="51" spans="1:9">
      <c r="A51" s="95">
        <v>10339</v>
      </c>
      <c r="B51" s="95" t="s">
        <v>171</v>
      </c>
      <c r="C51" s="96">
        <v>35366</v>
      </c>
      <c r="D51" s="96">
        <v>35394</v>
      </c>
      <c r="E51" s="96">
        <v>35373</v>
      </c>
      <c r="F51" s="95" t="s">
        <v>136</v>
      </c>
      <c r="G51" s="95">
        <v>15.66</v>
      </c>
      <c r="H51" s="95" t="s">
        <v>171</v>
      </c>
      <c r="I51" t="s">
        <v>172</v>
      </c>
    </row>
    <row r="52" spans="1:9">
      <c r="A52" s="95">
        <v>10342</v>
      </c>
      <c r="B52" s="95" t="s">
        <v>176</v>
      </c>
      <c r="C52" s="96">
        <v>35368</v>
      </c>
      <c r="D52" s="96">
        <v>35382</v>
      </c>
      <c r="E52" s="96">
        <v>35373</v>
      </c>
      <c r="F52" s="95" t="s">
        <v>136</v>
      </c>
      <c r="G52" s="95">
        <v>54.83</v>
      </c>
      <c r="H52" s="95" t="s">
        <v>176</v>
      </c>
      <c r="I52" t="s">
        <v>150</v>
      </c>
    </row>
    <row r="53" spans="1:9">
      <c r="A53" s="95">
        <v>10344</v>
      </c>
      <c r="B53" s="95" t="s">
        <v>177</v>
      </c>
      <c r="C53" s="96">
        <v>35370</v>
      </c>
      <c r="D53" s="96">
        <v>35398</v>
      </c>
      <c r="E53" s="96">
        <v>35374</v>
      </c>
      <c r="F53" s="95" t="s">
        <v>136</v>
      </c>
      <c r="G53" s="95">
        <v>23.29</v>
      </c>
      <c r="H53" s="95" t="s">
        <v>177</v>
      </c>
      <c r="I53" t="s">
        <v>145</v>
      </c>
    </row>
    <row r="54" spans="1:9">
      <c r="A54" s="95">
        <v>10345</v>
      </c>
      <c r="B54" s="95" t="s">
        <v>151</v>
      </c>
      <c r="C54" s="96">
        <v>35373</v>
      </c>
      <c r="D54" s="96">
        <v>35401</v>
      </c>
      <c r="E54" s="96">
        <v>35380</v>
      </c>
      <c r="F54" s="95" t="s">
        <v>136</v>
      </c>
      <c r="G54" s="95">
        <v>249.06</v>
      </c>
      <c r="H54" s="95" t="s">
        <v>151</v>
      </c>
      <c r="I54" t="s">
        <v>150</v>
      </c>
    </row>
    <row r="55" spans="1:9">
      <c r="A55" s="95">
        <v>10348</v>
      </c>
      <c r="B55" s="95" t="s">
        <v>161</v>
      </c>
      <c r="C55" s="96">
        <v>35376</v>
      </c>
      <c r="D55" s="96">
        <v>35404</v>
      </c>
      <c r="E55" s="96">
        <v>35384</v>
      </c>
      <c r="F55" s="95" t="s">
        <v>136</v>
      </c>
      <c r="G55" s="95">
        <v>0.78</v>
      </c>
      <c r="H55" s="95" t="s">
        <v>161</v>
      </c>
      <c r="I55" t="s">
        <v>150</v>
      </c>
    </row>
    <row r="56" spans="1:9">
      <c r="A56" s="95">
        <v>10350</v>
      </c>
      <c r="B56" s="95" t="s">
        <v>178</v>
      </c>
      <c r="C56" s="96">
        <v>35380</v>
      </c>
      <c r="D56" s="96">
        <v>35408</v>
      </c>
      <c r="E56" s="96">
        <v>35402</v>
      </c>
      <c r="F56" s="95" t="s">
        <v>136</v>
      </c>
      <c r="G56" s="95">
        <v>64.19</v>
      </c>
      <c r="H56" s="95" t="s">
        <v>178</v>
      </c>
      <c r="I56" t="s">
        <v>154</v>
      </c>
    </row>
    <row r="57" spans="1:9">
      <c r="A57" s="95">
        <v>10356</v>
      </c>
      <c r="B57" s="95" t="s">
        <v>161</v>
      </c>
      <c r="C57" s="96">
        <v>35387</v>
      </c>
      <c r="D57" s="96">
        <v>35415</v>
      </c>
      <c r="E57" s="96">
        <v>35396</v>
      </c>
      <c r="F57" s="95" t="s">
        <v>136</v>
      </c>
      <c r="G57" s="95">
        <v>36.71</v>
      </c>
      <c r="H57" s="95" t="s">
        <v>161</v>
      </c>
      <c r="I57" t="s">
        <v>150</v>
      </c>
    </row>
    <row r="58" spans="1:9">
      <c r="A58" s="95">
        <v>10361</v>
      </c>
      <c r="B58" s="95" t="s">
        <v>151</v>
      </c>
      <c r="C58" s="96">
        <v>35391</v>
      </c>
      <c r="D58" s="96">
        <v>35419</v>
      </c>
      <c r="E58" s="96">
        <v>35402</v>
      </c>
      <c r="F58" s="95" t="s">
        <v>136</v>
      </c>
      <c r="G58" s="95">
        <v>183.17</v>
      </c>
      <c r="H58" s="95" t="s">
        <v>151</v>
      </c>
      <c r="I58" t="s">
        <v>150</v>
      </c>
    </row>
    <row r="59" spans="1:9">
      <c r="A59" s="95">
        <v>10365</v>
      </c>
      <c r="B59" s="95" t="s">
        <v>179</v>
      </c>
      <c r="C59" s="96">
        <v>35396</v>
      </c>
      <c r="D59" s="96">
        <v>35424</v>
      </c>
      <c r="E59" s="96">
        <v>35401</v>
      </c>
      <c r="F59" s="95" t="s">
        <v>136</v>
      </c>
      <c r="G59" s="95">
        <v>22</v>
      </c>
      <c r="H59" s="95" t="s">
        <v>179</v>
      </c>
      <c r="I59" t="s">
        <v>165</v>
      </c>
    </row>
    <row r="60" spans="1:9">
      <c r="A60" s="95">
        <v>10366</v>
      </c>
      <c r="B60" s="95" t="s">
        <v>180</v>
      </c>
      <c r="C60" s="96">
        <v>35397</v>
      </c>
      <c r="D60" s="96">
        <v>35439</v>
      </c>
      <c r="E60" s="96">
        <v>35429</v>
      </c>
      <c r="F60" s="95" t="s">
        <v>136</v>
      </c>
      <c r="G60" s="95">
        <v>10.14</v>
      </c>
      <c r="H60" s="95" t="s">
        <v>181</v>
      </c>
      <c r="I60" t="s">
        <v>163</v>
      </c>
    </row>
    <row r="61" spans="1:9">
      <c r="A61" s="95">
        <v>10368</v>
      </c>
      <c r="B61" s="95" t="s">
        <v>182</v>
      </c>
      <c r="C61" s="96">
        <v>35398</v>
      </c>
      <c r="D61" s="96">
        <v>35426</v>
      </c>
      <c r="E61" s="96">
        <v>35401</v>
      </c>
      <c r="F61" s="95" t="s">
        <v>136</v>
      </c>
      <c r="G61" s="95">
        <v>101.95</v>
      </c>
      <c r="H61" s="95" t="s">
        <v>182</v>
      </c>
      <c r="I61" t="s">
        <v>183</v>
      </c>
    </row>
    <row r="62" spans="1:9">
      <c r="A62" s="95">
        <v>10369</v>
      </c>
      <c r="B62" s="95" t="s">
        <v>144</v>
      </c>
      <c r="C62" s="96">
        <v>35401</v>
      </c>
      <c r="D62" s="96">
        <v>35429</v>
      </c>
      <c r="E62" s="96">
        <v>35408</v>
      </c>
      <c r="F62" s="95" t="s">
        <v>136</v>
      </c>
      <c r="G62" s="95">
        <v>195.68</v>
      </c>
      <c r="H62" s="95" t="s">
        <v>144</v>
      </c>
      <c r="I62" t="s">
        <v>145</v>
      </c>
    </row>
    <row r="63" spans="1:9">
      <c r="A63" s="95">
        <v>10370</v>
      </c>
      <c r="B63" s="95" t="s">
        <v>140</v>
      </c>
      <c r="C63" s="96">
        <v>35402</v>
      </c>
      <c r="D63" s="96">
        <v>35430</v>
      </c>
      <c r="E63" s="96">
        <v>35426</v>
      </c>
      <c r="F63" s="95" t="s">
        <v>136</v>
      </c>
      <c r="G63" s="95">
        <v>1.17</v>
      </c>
      <c r="H63" s="95" t="s">
        <v>140</v>
      </c>
      <c r="I63" t="s">
        <v>141</v>
      </c>
    </row>
    <row r="64" spans="1:9">
      <c r="A64" s="95">
        <v>10372</v>
      </c>
      <c r="B64" s="95" t="s">
        <v>184</v>
      </c>
      <c r="C64" s="96">
        <v>35403</v>
      </c>
      <c r="D64" s="96">
        <v>35431</v>
      </c>
      <c r="E64" s="96">
        <v>35408</v>
      </c>
      <c r="F64" s="95" t="s">
        <v>136</v>
      </c>
      <c r="G64" s="95">
        <v>890.78</v>
      </c>
      <c r="H64" s="95" t="s">
        <v>184</v>
      </c>
      <c r="I64" t="s">
        <v>137</v>
      </c>
    </row>
    <row r="65" spans="1:9">
      <c r="A65" s="95">
        <v>10375</v>
      </c>
      <c r="B65" s="95" t="s">
        <v>185</v>
      </c>
      <c r="C65" s="96">
        <v>35405</v>
      </c>
      <c r="D65" s="96">
        <v>35433</v>
      </c>
      <c r="E65" s="96">
        <v>35408</v>
      </c>
      <c r="F65" s="95" t="s">
        <v>136</v>
      </c>
      <c r="G65" s="95">
        <v>20.12</v>
      </c>
      <c r="H65" s="95" t="s">
        <v>185</v>
      </c>
      <c r="I65" t="s">
        <v>145</v>
      </c>
    </row>
    <row r="66" spans="1:9">
      <c r="A66" s="95">
        <v>10376</v>
      </c>
      <c r="B66" s="95" t="s">
        <v>171</v>
      </c>
      <c r="C66" s="96">
        <v>35408</v>
      </c>
      <c r="D66" s="96">
        <v>35436</v>
      </c>
      <c r="E66" s="96">
        <v>35412</v>
      </c>
      <c r="F66" s="95" t="s">
        <v>136</v>
      </c>
      <c r="G66" s="95">
        <v>20.39</v>
      </c>
      <c r="H66" s="95" t="s">
        <v>171</v>
      </c>
      <c r="I66" t="s">
        <v>172</v>
      </c>
    </row>
    <row r="67" spans="1:9">
      <c r="A67" s="95">
        <v>10385</v>
      </c>
      <c r="B67" s="95" t="s">
        <v>144</v>
      </c>
      <c r="C67" s="96">
        <v>35416</v>
      </c>
      <c r="D67" s="96">
        <v>35444</v>
      </c>
      <c r="E67" s="96">
        <v>35422</v>
      </c>
      <c r="F67" s="95" t="s">
        <v>136</v>
      </c>
      <c r="G67" s="95">
        <v>30.96</v>
      </c>
      <c r="H67" s="95" t="s">
        <v>144</v>
      </c>
      <c r="I67" t="s">
        <v>145</v>
      </c>
    </row>
    <row r="68" spans="1:9">
      <c r="A68" s="95">
        <v>10387</v>
      </c>
      <c r="B68" s="95" t="s">
        <v>186</v>
      </c>
      <c r="C68" s="96">
        <v>35417</v>
      </c>
      <c r="D68" s="96">
        <v>35445</v>
      </c>
      <c r="E68" s="96">
        <v>35419</v>
      </c>
      <c r="F68" s="95" t="s">
        <v>136</v>
      </c>
      <c r="G68" s="95">
        <v>93.63</v>
      </c>
      <c r="H68" s="95" t="s">
        <v>186</v>
      </c>
      <c r="I68" t="s">
        <v>187</v>
      </c>
    </row>
    <row r="69" spans="1:9">
      <c r="A69" s="95">
        <v>10389</v>
      </c>
      <c r="B69" s="95" t="s">
        <v>188</v>
      </c>
      <c r="C69" s="96">
        <v>35419</v>
      </c>
      <c r="D69" s="96">
        <v>35447</v>
      </c>
      <c r="E69" s="96">
        <v>35423</v>
      </c>
      <c r="F69" s="95" t="s">
        <v>136</v>
      </c>
      <c r="G69" s="95">
        <v>47.42</v>
      </c>
      <c r="H69" s="95" t="s">
        <v>188</v>
      </c>
      <c r="I69" t="s">
        <v>172</v>
      </c>
    </row>
    <row r="70" spans="1:9">
      <c r="A70" s="95">
        <v>10402</v>
      </c>
      <c r="B70" s="95" t="s">
        <v>182</v>
      </c>
      <c r="C70" s="96">
        <v>35432</v>
      </c>
      <c r="D70" s="96">
        <v>35474</v>
      </c>
      <c r="E70" s="96">
        <v>35440</v>
      </c>
      <c r="F70" s="95" t="s">
        <v>136</v>
      </c>
      <c r="G70" s="95">
        <v>67.88</v>
      </c>
      <c r="H70" s="95" t="s">
        <v>182</v>
      </c>
      <c r="I70" t="s">
        <v>183</v>
      </c>
    </row>
    <row r="71" spans="1:9">
      <c r="A71" s="95">
        <v>10407</v>
      </c>
      <c r="B71" s="95" t="s">
        <v>189</v>
      </c>
      <c r="C71" s="96">
        <v>35437</v>
      </c>
      <c r="D71" s="96">
        <v>35465</v>
      </c>
      <c r="E71" s="96">
        <v>35460</v>
      </c>
      <c r="F71" s="95" t="s">
        <v>136</v>
      </c>
      <c r="G71" s="95">
        <v>91.48</v>
      </c>
      <c r="H71" s="95" t="s">
        <v>189</v>
      </c>
      <c r="I71" t="s">
        <v>150</v>
      </c>
    </row>
    <row r="72" spans="1:9">
      <c r="A72" s="95">
        <v>10412</v>
      </c>
      <c r="B72" s="95" t="s">
        <v>190</v>
      </c>
      <c r="C72" s="96">
        <v>35443</v>
      </c>
      <c r="D72" s="96">
        <v>35471</v>
      </c>
      <c r="E72" s="96">
        <v>35445</v>
      </c>
      <c r="F72" s="95" t="s">
        <v>136</v>
      </c>
      <c r="G72" s="95">
        <v>3.77</v>
      </c>
      <c r="H72" s="95" t="s">
        <v>190</v>
      </c>
      <c r="I72" t="s">
        <v>191</v>
      </c>
    </row>
    <row r="73" spans="1:9">
      <c r="A73" s="95">
        <v>10413</v>
      </c>
      <c r="B73" s="95" t="s">
        <v>178</v>
      </c>
      <c r="C73" s="96">
        <v>35444</v>
      </c>
      <c r="D73" s="96">
        <v>35472</v>
      </c>
      <c r="E73" s="96">
        <v>35446</v>
      </c>
      <c r="F73" s="95" t="s">
        <v>136</v>
      </c>
      <c r="G73" s="95">
        <v>95.66</v>
      </c>
      <c r="H73" s="95" t="s">
        <v>178</v>
      </c>
      <c r="I73" t="s">
        <v>154</v>
      </c>
    </row>
    <row r="74" spans="1:9">
      <c r="A74" s="95">
        <v>10419</v>
      </c>
      <c r="B74" s="95" t="s">
        <v>192</v>
      </c>
      <c r="C74" s="96">
        <v>35450</v>
      </c>
      <c r="D74" s="96">
        <v>35478</v>
      </c>
      <c r="E74" s="96">
        <v>35460</v>
      </c>
      <c r="F74" s="95" t="s">
        <v>136</v>
      </c>
      <c r="G74" s="95">
        <v>137.35</v>
      </c>
      <c r="H74" s="95" t="s">
        <v>192</v>
      </c>
      <c r="I74" t="s">
        <v>141</v>
      </c>
    </row>
    <row r="75" spans="1:9">
      <c r="A75" s="95">
        <v>10424</v>
      </c>
      <c r="B75" s="95" t="s">
        <v>171</v>
      </c>
      <c r="C75" s="96">
        <v>35453</v>
      </c>
      <c r="D75" s="96">
        <v>35481</v>
      </c>
      <c r="E75" s="96">
        <v>35457</v>
      </c>
      <c r="F75" s="95" t="s">
        <v>136</v>
      </c>
      <c r="G75" s="95">
        <v>370.61</v>
      </c>
      <c r="H75" s="95" t="s">
        <v>171</v>
      </c>
      <c r="I75" t="s">
        <v>172</v>
      </c>
    </row>
    <row r="76" spans="1:9">
      <c r="A76" s="95">
        <v>10425</v>
      </c>
      <c r="B76" s="95" t="s">
        <v>178</v>
      </c>
      <c r="C76" s="96">
        <v>35454</v>
      </c>
      <c r="D76" s="96">
        <v>35482</v>
      </c>
      <c r="E76" s="96">
        <v>35475</v>
      </c>
      <c r="F76" s="95" t="s">
        <v>136</v>
      </c>
      <c r="G76" s="95">
        <v>7.93</v>
      </c>
      <c r="H76" s="95" t="s">
        <v>178</v>
      </c>
      <c r="I76" t="s">
        <v>154</v>
      </c>
    </row>
    <row r="77" spans="1:9">
      <c r="A77" s="95">
        <v>10427</v>
      </c>
      <c r="B77" s="95" t="s">
        <v>193</v>
      </c>
      <c r="C77" s="96">
        <v>35457</v>
      </c>
      <c r="D77" s="96">
        <v>35485</v>
      </c>
      <c r="E77" s="96">
        <v>35492</v>
      </c>
      <c r="F77" s="95" t="s">
        <v>136</v>
      </c>
      <c r="G77" s="95">
        <v>31.29</v>
      </c>
      <c r="H77" s="95" t="s">
        <v>193</v>
      </c>
      <c r="I77" t="s">
        <v>183</v>
      </c>
    </row>
    <row r="78" spans="1:9">
      <c r="A78" s="95">
        <v>10429</v>
      </c>
      <c r="B78" s="95" t="s">
        <v>156</v>
      </c>
      <c r="C78" s="96">
        <v>35459</v>
      </c>
      <c r="D78" s="96">
        <v>35501</v>
      </c>
      <c r="E78" s="96">
        <v>35468</v>
      </c>
      <c r="F78" s="95" t="s">
        <v>136</v>
      </c>
      <c r="G78" s="95">
        <v>56.63</v>
      </c>
      <c r="H78" s="95" t="s">
        <v>156</v>
      </c>
      <c r="I78" t="s">
        <v>157</v>
      </c>
    </row>
    <row r="79" spans="1:9">
      <c r="A79" s="95">
        <v>10431</v>
      </c>
      <c r="B79" s="95" t="s">
        <v>188</v>
      </c>
      <c r="C79" s="96">
        <v>35460</v>
      </c>
      <c r="D79" s="96">
        <v>35474</v>
      </c>
      <c r="E79" s="96">
        <v>35468</v>
      </c>
      <c r="F79" s="95" t="s">
        <v>136</v>
      </c>
      <c r="G79" s="95">
        <v>44.17</v>
      </c>
      <c r="H79" s="95" t="s">
        <v>188</v>
      </c>
      <c r="I79" t="s">
        <v>172</v>
      </c>
    </row>
    <row r="80" spans="1:9">
      <c r="A80" s="95">
        <v>10432</v>
      </c>
      <c r="B80" s="95" t="s">
        <v>144</v>
      </c>
      <c r="C80" s="96">
        <v>35461</v>
      </c>
      <c r="D80" s="96">
        <v>35475</v>
      </c>
      <c r="E80" s="96">
        <v>35468</v>
      </c>
      <c r="F80" s="95" t="s">
        <v>136</v>
      </c>
      <c r="G80" s="95">
        <v>4.34</v>
      </c>
      <c r="H80" s="95" t="s">
        <v>144</v>
      </c>
      <c r="I80" t="s">
        <v>145</v>
      </c>
    </row>
    <row r="81" spans="1:9">
      <c r="A81" s="95">
        <v>10434</v>
      </c>
      <c r="B81" s="95" t="s">
        <v>194</v>
      </c>
      <c r="C81" s="96">
        <v>35464</v>
      </c>
      <c r="D81" s="96">
        <v>35492</v>
      </c>
      <c r="E81" s="96">
        <v>35474</v>
      </c>
      <c r="F81" s="95" t="s">
        <v>136</v>
      </c>
      <c r="G81" s="95">
        <v>17.92</v>
      </c>
      <c r="H81" s="95" t="s">
        <v>194</v>
      </c>
      <c r="I81" t="s">
        <v>148</v>
      </c>
    </row>
    <row r="82" spans="1:9">
      <c r="A82" s="95">
        <v>10435</v>
      </c>
      <c r="B82" s="95" t="s">
        <v>195</v>
      </c>
      <c r="C82" s="96">
        <v>35465</v>
      </c>
      <c r="D82" s="96">
        <v>35507</v>
      </c>
      <c r="E82" s="96">
        <v>35468</v>
      </c>
      <c r="F82" s="95" t="s">
        <v>136</v>
      </c>
      <c r="G82" s="95">
        <v>9.21</v>
      </c>
      <c r="H82" s="95" t="s">
        <v>195</v>
      </c>
      <c r="I82" t="s">
        <v>169</v>
      </c>
    </row>
    <row r="83" spans="1:9">
      <c r="A83" s="95">
        <v>10436</v>
      </c>
      <c r="B83" s="95" t="s">
        <v>155</v>
      </c>
      <c r="C83" s="96">
        <v>35466</v>
      </c>
      <c r="D83" s="96">
        <v>35494</v>
      </c>
      <c r="E83" s="96">
        <v>35472</v>
      </c>
      <c r="F83" s="95" t="s">
        <v>136</v>
      </c>
      <c r="G83" s="95">
        <v>156.66</v>
      </c>
      <c r="H83" s="95" t="s">
        <v>155</v>
      </c>
      <c r="I83" t="s">
        <v>154</v>
      </c>
    </row>
    <row r="84" spans="1:9">
      <c r="A84" s="95">
        <v>10438</v>
      </c>
      <c r="B84" s="95" t="s">
        <v>196</v>
      </c>
      <c r="C84" s="96">
        <v>35467</v>
      </c>
      <c r="D84" s="96">
        <v>35495</v>
      </c>
      <c r="E84" s="96">
        <v>35475</v>
      </c>
      <c r="F84" s="95" t="s">
        <v>136</v>
      </c>
      <c r="G84" s="95">
        <v>8.24</v>
      </c>
      <c r="H84" s="95" t="s">
        <v>196</v>
      </c>
      <c r="I84" t="s">
        <v>150</v>
      </c>
    </row>
    <row r="85" spans="1:9">
      <c r="A85" s="95">
        <v>10440</v>
      </c>
      <c r="B85" s="95" t="s">
        <v>197</v>
      </c>
      <c r="C85" s="96">
        <v>35471</v>
      </c>
      <c r="D85" s="96">
        <v>35499</v>
      </c>
      <c r="E85" s="96">
        <v>35489</v>
      </c>
      <c r="F85" s="95" t="s">
        <v>136</v>
      </c>
      <c r="G85" s="95">
        <v>86.53</v>
      </c>
      <c r="H85" s="95" t="s">
        <v>197</v>
      </c>
      <c r="I85" t="s">
        <v>145</v>
      </c>
    </row>
    <row r="86" spans="1:9">
      <c r="A86" s="95">
        <v>10441</v>
      </c>
      <c r="B86" s="95" t="s">
        <v>198</v>
      </c>
      <c r="C86" s="96">
        <v>35471</v>
      </c>
      <c r="D86" s="96">
        <v>35513</v>
      </c>
      <c r="E86" s="96">
        <v>35503</v>
      </c>
      <c r="F86" s="95" t="s">
        <v>136</v>
      </c>
      <c r="G86" s="95">
        <v>73.02</v>
      </c>
      <c r="H86" s="95" t="s">
        <v>198</v>
      </c>
      <c r="I86" t="s">
        <v>145</v>
      </c>
    </row>
    <row r="87" spans="1:9">
      <c r="A87" s="95">
        <v>10442</v>
      </c>
      <c r="B87" s="95" t="s">
        <v>182</v>
      </c>
      <c r="C87" s="96">
        <v>35472</v>
      </c>
      <c r="D87" s="96">
        <v>35500</v>
      </c>
      <c r="E87" s="96">
        <v>35479</v>
      </c>
      <c r="F87" s="95" t="s">
        <v>136</v>
      </c>
      <c r="G87" s="95">
        <v>47.94</v>
      </c>
      <c r="H87" s="95" t="s">
        <v>182</v>
      </c>
      <c r="I87" t="s">
        <v>183</v>
      </c>
    </row>
    <row r="88" spans="1:9">
      <c r="A88" s="95">
        <v>10447</v>
      </c>
      <c r="B88" s="95" t="s">
        <v>158</v>
      </c>
      <c r="C88" s="96">
        <v>35475</v>
      </c>
      <c r="D88" s="96">
        <v>35503</v>
      </c>
      <c r="E88" s="96">
        <v>35496</v>
      </c>
      <c r="F88" s="95" t="s">
        <v>136</v>
      </c>
      <c r="G88" s="95">
        <v>68.66</v>
      </c>
      <c r="H88" s="95" t="s">
        <v>158</v>
      </c>
      <c r="I88" t="s">
        <v>137</v>
      </c>
    </row>
    <row r="89" spans="1:9">
      <c r="A89" s="95">
        <v>10448</v>
      </c>
      <c r="B89" s="95" t="s">
        <v>199</v>
      </c>
      <c r="C89" s="96">
        <v>35478</v>
      </c>
      <c r="D89" s="96">
        <v>35506</v>
      </c>
      <c r="E89" s="96">
        <v>35485</v>
      </c>
      <c r="F89" s="95" t="s">
        <v>136</v>
      </c>
      <c r="G89" s="95">
        <v>38.82</v>
      </c>
      <c r="H89" s="95" t="s">
        <v>199</v>
      </c>
      <c r="I89" t="s">
        <v>200</v>
      </c>
    </row>
    <row r="90" spans="1:9">
      <c r="A90" s="95">
        <v>10449</v>
      </c>
      <c r="B90" s="95" t="s">
        <v>155</v>
      </c>
      <c r="C90" s="96">
        <v>35479</v>
      </c>
      <c r="D90" s="96">
        <v>35507</v>
      </c>
      <c r="E90" s="96">
        <v>35488</v>
      </c>
      <c r="F90" s="95" t="s">
        <v>136</v>
      </c>
      <c r="G90" s="95">
        <v>53.3</v>
      </c>
      <c r="H90" s="95" t="s">
        <v>155</v>
      </c>
      <c r="I90" t="s">
        <v>154</v>
      </c>
    </row>
    <row r="91" spans="1:9">
      <c r="A91" s="95">
        <v>10450</v>
      </c>
      <c r="B91" s="95" t="s">
        <v>173</v>
      </c>
      <c r="C91" s="96">
        <v>35480</v>
      </c>
      <c r="D91" s="96">
        <v>35508</v>
      </c>
      <c r="E91" s="96">
        <v>35500</v>
      </c>
      <c r="F91" s="95" t="s">
        <v>136</v>
      </c>
      <c r="G91" s="95">
        <v>7.23</v>
      </c>
      <c r="H91" s="95" t="s">
        <v>173</v>
      </c>
      <c r="I91" t="s">
        <v>154</v>
      </c>
    </row>
    <row r="92" spans="1:9">
      <c r="A92" s="95">
        <v>10453</v>
      </c>
      <c r="B92" s="95" t="s">
        <v>201</v>
      </c>
      <c r="C92" s="96">
        <v>35482</v>
      </c>
      <c r="D92" s="96">
        <v>35510</v>
      </c>
      <c r="E92" s="96">
        <v>35487</v>
      </c>
      <c r="F92" s="95" t="s">
        <v>136</v>
      </c>
      <c r="G92" s="95">
        <v>25.36</v>
      </c>
      <c r="H92" s="95" t="s">
        <v>201</v>
      </c>
      <c r="I92" t="s">
        <v>169</v>
      </c>
    </row>
    <row r="93" spans="1:9">
      <c r="A93" s="95">
        <v>10455</v>
      </c>
      <c r="B93" s="95" t="s">
        <v>190</v>
      </c>
      <c r="C93" s="96">
        <v>35485</v>
      </c>
      <c r="D93" s="96">
        <v>35527</v>
      </c>
      <c r="E93" s="96">
        <v>35492</v>
      </c>
      <c r="F93" s="95" t="s">
        <v>136</v>
      </c>
      <c r="G93" s="95">
        <v>180.45</v>
      </c>
      <c r="H93" s="95" t="s">
        <v>190</v>
      </c>
      <c r="I93" t="s">
        <v>191</v>
      </c>
    </row>
    <row r="94" spans="1:9">
      <c r="A94" s="95">
        <v>10456</v>
      </c>
      <c r="B94" s="95" t="s">
        <v>202</v>
      </c>
      <c r="C94" s="96">
        <v>35486</v>
      </c>
      <c r="D94" s="96">
        <v>35528</v>
      </c>
      <c r="E94" s="96">
        <v>35489</v>
      </c>
      <c r="F94" s="95" t="s">
        <v>136</v>
      </c>
      <c r="G94" s="95">
        <v>8.12</v>
      </c>
      <c r="H94" s="95" t="s">
        <v>202</v>
      </c>
      <c r="I94" t="s">
        <v>150</v>
      </c>
    </row>
    <row r="95" spans="1:9">
      <c r="A95" s="95">
        <v>10459</v>
      </c>
      <c r="B95" s="95" t="s">
        <v>173</v>
      </c>
      <c r="C95" s="96">
        <v>35488</v>
      </c>
      <c r="D95" s="96">
        <v>35516</v>
      </c>
      <c r="E95" s="96">
        <v>35489</v>
      </c>
      <c r="F95" s="95" t="s">
        <v>136</v>
      </c>
      <c r="G95" s="95">
        <v>25.09</v>
      </c>
      <c r="H95" s="95" t="s">
        <v>173</v>
      </c>
      <c r="I95" t="s">
        <v>154</v>
      </c>
    </row>
    <row r="96" spans="1:9">
      <c r="A96" s="95">
        <v>10464</v>
      </c>
      <c r="B96" s="95" t="s">
        <v>203</v>
      </c>
      <c r="C96" s="96">
        <v>35493</v>
      </c>
      <c r="D96" s="96">
        <v>35521</v>
      </c>
      <c r="E96" s="96">
        <v>35503</v>
      </c>
      <c r="F96" s="95" t="s">
        <v>136</v>
      </c>
      <c r="G96" s="95">
        <v>89</v>
      </c>
      <c r="H96" s="95" t="s">
        <v>203</v>
      </c>
      <c r="I96" t="s">
        <v>175</v>
      </c>
    </row>
    <row r="97" spans="1:9">
      <c r="A97" s="95">
        <v>10467</v>
      </c>
      <c r="B97" s="95" t="s">
        <v>159</v>
      </c>
      <c r="C97" s="96">
        <v>35495</v>
      </c>
      <c r="D97" s="96">
        <v>35523</v>
      </c>
      <c r="E97" s="96">
        <v>35500</v>
      </c>
      <c r="F97" s="95" t="s">
        <v>136</v>
      </c>
      <c r="G97" s="95">
        <v>4.93</v>
      </c>
      <c r="H97" s="95" t="s">
        <v>159</v>
      </c>
      <c r="I97" t="s">
        <v>160</v>
      </c>
    </row>
    <row r="98" spans="1:9">
      <c r="A98" s="95">
        <v>10470</v>
      </c>
      <c r="B98" s="95" t="s">
        <v>204</v>
      </c>
      <c r="C98" s="96">
        <v>35500</v>
      </c>
      <c r="D98" s="96">
        <v>35528</v>
      </c>
      <c r="E98" s="96">
        <v>35503</v>
      </c>
      <c r="F98" s="95" t="s">
        <v>136</v>
      </c>
      <c r="G98" s="95">
        <v>64.56</v>
      </c>
      <c r="H98" s="95" t="s">
        <v>204</v>
      </c>
      <c r="I98" t="s">
        <v>154</v>
      </c>
    </row>
    <row r="99" spans="1:9">
      <c r="A99" s="95">
        <v>10474</v>
      </c>
      <c r="B99" s="95" t="s">
        <v>205</v>
      </c>
      <c r="C99" s="96">
        <v>35502</v>
      </c>
      <c r="D99" s="96">
        <v>35530</v>
      </c>
      <c r="E99" s="96">
        <v>35510</v>
      </c>
      <c r="F99" s="95" t="s">
        <v>136</v>
      </c>
      <c r="G99" s="95">
        <v>83.49</v>
      </c>
      <c r="H99" s="95" t="s">
        <v>205</v>
      </c>
      <c r="I99" t="s">
        <v>165</v>
      </c>
    </row>
    <row r="100" spans="1:9">
      <c r="A100" s="95">
        <v>10477</v>
      </c>
      <c r="B100" s="95" t="s">
        <v>174</v>
      </c>
      <c r="C100" s="96">
        <v>35506</v>
      </c>
      <c r="D100" s="96">
        <v>35534</v>
      </c>
      <c r="E100" s="96">
        <v>35514</v>
      </c>
      <c r="F100" s="95" t="s">
        <v>136</v>
      </c>
      <c r="G100" s="95">
        <v>13.02</v>
      </c>
      <c r="H100" s="95" t="s">
        <v>174</v>
      </c>
      <c r="I100" t="s">
        <v>175</v>
      </c>
    </row>
    <row r="101" spans="1:9">
      <c r="A101" s="95">
        <v>10480</v>
      </c>
      <c r="B101" s="95" t="s">
        <v>206</v>
      </c>
      <c r="C101" s="96">
        <v>35509</v>
      </c>
      <c r="D101" s="96">
        <v>35537</v>
      </c>
      <c r="E101" s="96">
        <v>35513</v>
      </c>
      <c r="F101" s="95" t="s">
        <v>136</v>
      </c>
      <c r="G101" s="95">
        <v>1.35</v>
      </c>
      <c r="H101" s="95" t="s">
        <v>206</v>
      </c>
      <c r="I101" t="s">
        <v>154</v>
      </c>
    </row>
    <row r="102" spans="1:9">
      <c r="A102" s="95">
        <v>10481</v>
      </c>
      <c r="B102" s="95" t="s">
        <v>158</v>
      </c>
      <c r="C102" s="96">
        <v>35509</v>
      </c>
      <c r="D102" s="96">
        <v>35537</v>
      </c>
      <c r="E102" s="96">
        <v>35514</v>
      </c>
      <c r="F102" s="95" t="s">
        <v>136</v>
      </c>
      <c r="G102" s="95">
        <v>64.33</v>
      </c>
      <c r="H102" s="95" t="s">
        <v>158</v>
      </c>
      <c r="I102" t="s">
        <v>137</v>
      </c>
    </row>
    <row r="103" spans="1:9">
      <c r="A103" s="95">
        <v>10483</v>
      </c>
      <c r="B103" s="95" t="s">
        <v>177</v>
      </c>
      <c r="C103" s="96">
        <v>35513</v>
      </c>
      <c r="D103" s="96">
        <v>35541</v>
      </c>
      <c r="E103" s="96">
        <v>35545</v>
      </c>
      <c r="F103" s="95" t="s">
        <v>136</v>
      </c>
      <c r="G103" s="95">
        <v>15.28</v>
      </c>
      <c r="H103" s="95" t="s">
        <v>177</v>
      </c>
      <c r="I103" t="s">
        <v>145</v>
      </c>
    </row>
    <row r="104" spans="1:9">
      <c r="A104" s="97">
        <v>10485</v>
      </c>
      <c r="B104" s="97" t="s">
        <v>207</v>
      </c>
      <c r="C104" s="98">
        <v>35514</v>
      </c>
      <c r="D104" s="98">
        <v>35528</v>
      </c>
      <c r="E104" s="98">
        <v>35520</v>
      </c>
      <c r="F104" s="97" t="s">
        <v>136</v>
      </c>
      <c r="G104" s="97">
        <v>64.45</v>
      </c>
      <c r="H104" s="97" t="s">
        <v>207</v>
      </c>
      <c r="I104" t="s">
        <v>208</v>
      </c>
    </row>
    <row r="105" spans="1:9">
      <c r="A105">
        <v>10486</v>
      </c>
      <c r="B105" t="s">
        <v>209</v>
      </c>
      <c r="C105" s="67">
        <v>35515</v>
      </c>
      <c r="D105" s="67">
        <v>35543</v>
      </c>
      <c r="E105" s="67">
        <v>35522</v>
      </c>
      <c r="F105" t="s">
        <v>136</v>
      </c>
      <c r="G105">
        <v>30.53</v>
      </c>
      <c r="H105" t="s">
        <v>209</v>
      </c>
      <c r="I105" t="s">
        <v>208</v>
      </c>
    </row>
    <row r="106" spans="1:9">
      <c r="A106">
        <v>10487</v>
      </c>
      <c r="B106" t="s">
        <v>184</v>
      </c>
      <c r="C106" s="67">
        <v>35515</v>
      </c>
      <c r="D106" s="67">
        <v>35543</v>
      </c>
      <c r="E106" s="67">
        <v>35517</v>
      </c>
      <c r="F106" t="s">
        <v>136</v>
      </c>
      <c r="G106">
        <v>71.07</v>
      </c>
      <c r="H106" t="s">
        <v>184</v>
      </c>
      <c r="I106" t="s">
        <v>137</v>
      </c>
    </row>
    <row r="107" spans="1:9">
      <c r="A107">
        <v>10488</v>
      </c>
      <c r="B107" t="s">
        <v>176</v>
      </c>
      <c r="C107" s="67">
        <v>35516</v>
      </c>
      <c r="D107" s="67">
        <v>35544</v>
      </c>
      <c r="E107" s="67">
        <v>35522</v>
      </c>
      <c r="F107" t="s">
        <v>136</v>
      </c>
      <c r="G107">
        <v>4.93</v>
      </c>
      <c r="H107" t="s">
        <v>176</v>
      </c>
      <c r="I107" t="s">
        <v>150</v>
      </c>
    </row>
    <row r="108" spans="1:9">
      <c r="A108">
        <v>10489</v>
      </c>
      <c r="B108" t="s">
        <v>193</v>
      </c>
      <c r="C108" s="67">
        <v>35517</v>
      </c>
      <c r="D108" s="67">
        <v>35545</v>
      </c>
      <c r="E108" s="67">
        <v>35529</v>
      </c>
      <c r="F108" t="s">
        <v>136</v>
      </c>
      <c r="G108">
        <v>5.29</v>
      </c>
      <c r="H108" t="s">
        <v>193</v>
      </c>
      <c r="I108" t="s">
        <v>183</v>
      </c>
    </row>
    <row r="109" spans="1:9">
      <c r="A109">
        <v>10490</v>
      </c>
      <c r="B109" t="s">
        <v>209</v>
      </c>
      <c r="C109" s="67">
        <v>35520</v>
      </c>
      <c r="D109" s="67">
        <v>35548</v>
      </c>
      <c r="E109" s="67">
        <v>35523</v>
      </c>
      <c r="F109" t="s">
        <v>136</v>
      </c>
      <c r="G109">
        <v>210.19</v>
      </c>
      <c r="H109" t="s">
        <v>209</v>
      </c>
      <c r="I109" t="s">
        <v>208</v>
      </c>
    </row>
    <row r="110" spans="1:9">
      <c r="A110">
        <v>10494</v>
      </c>
      <c r="B110" t="s">
        <v>210</v>
      </c>
      <c r="C110" s="67">
        <v>35522</v>
      </c>
      <c r="D110" s="67">
        <v>35550</v>
      </c>
      <c r="E110" s="67">
        <v>35529</v>
      </c>
      <c r="F110" t="s">
        <v>136</v>
      </c>
      <c r="G110">
        <v>65.99</v>
      </c>
      <c r="H110" t="s">
        <v>210</v>
      </c>
      <c r="I110" t="s">
        <v>137</v>
      </c>
    </row>
    <row r="111" spans="1:9">
      <c r="A111">
        <v>10496</v>
      </c>
      <c r="B111" t="s">
        <v>152</v>
      </c>
      <c r="C111" s="67">
        <v>35524</v>
      </c>
      <c r="D111" s="67">
        <v>35552</v>
      </c>
      <c r="E111" s="67">
        <v>35527</v>
      </c>
      <c r="F111" t="s">
        <v>136</v>
      </c>
      <c r="G111">
        <v>46.77</v>
      </c>
      <c r="H111" t="s">
        <v>152</v>
      </c>
      <c r="I111" t="s">
        <v>137</v>
      </c>
    </row>
    <row r="112" spans="1:9">
      <c r="A112">
        <v>10498</v>
      </c>
      <c r="B112" t="s">
        <v>209</v>
      </c>
      <c r="C112" s="67">
        <v>35527</v>
      </c>
      <c r="D112" s="67">
        <v>35555</v>
      </c>
      <c r="E112" s="67">
        <v>35531</v>
      </c>
      <c r="F112" t="s">
        <v>136</v>
      </c>
      <c r="G112">
        <v>29.75</v>
      </c>
      <c r="H112" t="s">
        <v>209</v>
      </c>
      <c r="I112" t="s">
        <v>208</v>
      </c>
    </row>
    <row r="113" spans="1:9">
      <c r="A113">
        <v>10499</v>
      </c>
      <c r="B113" t="s">
        <v>211</v>
      </c>
      <c r="C113" s="67">
        <v>35528</v>
      </c>
      <c r="D113" s="67">
        <v>35556</v>
      </c>
      <c r="E113" s="67">
        <v>35536</v>
      </c>
      <c r="F113" t="s">
        <v>136</v>
      </c>
      <c r="G113">
        <v>102.02</v>
      </c>
      <c r="H113" t="s">
        <v>211</v>
      </c>
      <c r="I113" t="s">
        <v>208</v>
      </c>
    </row>
    <row r="114" spans="1:9">
      <c r="A114">
        <v>10503</v>
      </c>
      <c r="B114" t="s">
        <v>156</v>
      </c>
      <c r="C114" s="67">
        <v>35531</v>
      </c>
      <c r="D114" s="67">
        <v>35559</v>
      </c>
      <c r="E114" s="67">
        <v>35536</v>
      </c>
      <c r="F114" t="s">
        <v>136</v>
      </c>
      <c r="G114">
        <v>16.74</v>
      </c>
      <c r="H114" t="s">
        <v>156</v>
      </c>
      <c r="I114" t="s">
        <v>157</v>
      </c>
    </row>
    <row r="115" spans="1:9">
      <c r="A115">
        <v>10506</v>
      </c>
      <c r="B115" t="s">
        <v>202</v>
      </c>
      <c r="C115" s="67">
        <v>35535</v>
      </c>
      <c r="D115" s="67">
        <v>35563</v>
      </c>
      <c r="E115" s="67">
        <v>35552</v>
      </c>
      <c r="F115" t="s">
        <v>136</v>
      </c>
      <c r="G115">
        <v>21.19</v>
      </c>
      <c r="H115" t="s">
        <v>202</v>
      </c>
      <c r="I115" t="s">
        <v>150</v>
      </c>
    </row>
    <row r="116" spans="1:9">
      <c r="A116">
        <v>10508</v>
      </c>
      <c r="B116" t="s">
        <v>189</v>
      </c>
      <c r="C116" s="67">
        <v>35536</v>
      </c>
      <c r="D116" s="67">
        <v>35564</v>
      </c>
      <c r="E116" s="67">
        <v>35563</v>
      </c>
      <c r="F116" t="s">
        <v>136</v>
      </c>
      <c r="G116">
        <v>4.99</v>
      </c>
      <c r="H116" t="s">
        <v>189</v>
      </c>
      <c r="I116" t="s">
        <v>150</v>
      </c>
    </row>
    <row r="117" spans="1:9">
      <c r="A117">
        <v>10512</v>
      </c>
      <c r="B117" t="s">
        <v>212</v>
      </c>
      <c r="C117" s="67">
        <v>35541</v>
      </c>
      <c r="D117" s="67">
        <v>35569</v>
      </c>
      <c r="E117" s="67">
        <v>35544</v>
      </c>
      <c r="F117" t="s">
        <v>136</v>
      </c>
      <c r="G117">
        <v>3.53</v>
      </c>
      <c r="H117" t="s">
        <v>212</v>
      </c>
      <c r="I117" t="s">
        <v>137</v>
      </c>
    </row>
    <row r="118" spans="1:9">
      <c r="A118">
        <v>10514</v>
      </c>
      <c r="B118" t="s">
        <v>182</v>
      </c>
      <c r="C118" s="67">
        <v>35542</v>
      </c>
      <c r="D118" s="67">
        <v>35570</v>
      </c>
      <c r="E118" s="67">
        <v>35566</v>
      </c>
      <c r="F118" t="s">
        <v>136</v>
      </c>
      <c r="G118">
        <v>789.95</v>
      </c>
      <c r="H118" t="s">
        <v>182</v>
      </c>
      <c r="I118" t="s">
        <v>183</v>
      </c>
    </row>
    <row r="119" spans="1:9">
      <c r="A119">
        <v>10518</v>
      </c>
      <c r="B119" t="s">
        <v>164</v>
      </c>
      <c r="C119" s="67">
        <v>35545</v>
      </c>
      <c r="D119" s="67">
        <v>35559</v>
      </c>
      <c r="E119" s="67">
        <v>35555</v>
      </c>
      <c r="F119" t="s">
        <v>136</v>
      </c>
      <c r="G119">
        <v>218.15</v>
      </c>
      <c r="H119" t="s">
        <v>164</v>
      </c>
      <c r="I119" t="s">
        <v>165</v>
      </c>
    </row>
    <row r="120" spans="1:9">
      <c r="A120">
        <v>10521</v>
      </c>
      <c r="B120" t="s">
        <v>213</v>
      </c>
      <c r="C120" s="67">
        <v>35549</v>
      </c>
      <c r="D120" s="67">
        <v>35577</v>
      </c>
      <c r="E120" s="67">
        <v>35552</v>
      </c>
      <c r="F120" t="s">
        <v>136</v>
      </c>
      <c r="G120">
        <v>17.22</v>
      </c>
      <c r="H120" t="s">
        <v>213</v>
      </c>
      <c r="I120" t="s">
        <v>200</v>
      </c>
    </row>
    <row r="121" spans="1:9">
      <c r="A121">
        <v>10523</v>
      </c>
      <c r="B121" t="s">
        <v>214</v>
      </c>
      <c r="C121" s="67">
        <v>35551</v>
      </c>
      <c r="D121" s="67">
        <v>35579</v>
      </c>
      <c r="E121" s="67">
        <v>35580</v>
      </c>
      <c r="F121" t="s">
        <v>136</v>
      </c>
      <c r="G121">
        <v>77.63</v>
      </c>
      <c r="H121" t="s">
        <v>214</v>
      </c>
      <c r="I121" t="s">
        <v>169</v>
      </c>
    </row>
    <row r="122" spans="1:9">
      <c r="A122">
        <v>10524</v>
      </c>
      <c r="B122" t="s">
        <v>147</v>
      </c>
      <c r="C122" s="67">
        <v>35551</v>
      </c>
      <c r="D122" s="67">
        <v>35579</v>
      </c>
      <c r="E122" s="67">
        <v>35557</v>
      </c>
      <c r="F122" t="s">
        <v>136</v>
      </c>
      <c r="G122">
        <v>244.79</v>
      </c>
      <c r="H122" t="s">
        <v>147</v>
      </c>
      <c r="I122" t="s">
        <v>148</v>
      </c>
    </row>
    <row r="123" spans="1:9">
      <c r="A123">
        <v>10525</v>
      </c>
      <c r="B123" t="s">
        <v>204</v>
      </c>
      <c r="C123" s="67">
        <v>35552</v>
      </c>
      <c r="D123" s="67">
        <v>35580</v>
      </c>
      <c r="E123" s="67">
        <v>35573</v>
      </c>
      <c r="F123" t="s">
        <v>136</v>
      </c>
      <c r="G123">
        <v>11.06</v>
      </c>
      <c r="H123" t="s">
        <v>204</v>
      </c>
      <c r="I123" t="s">
        <v>154</v>
      </c>
    </row>
    <row r="124" spans="1:9">
      <c r="A124">
        <v>10526</v>
      </c>
      <c r="B124" t="s">
        <v>190</v>
      </c>
      <c r="C124" s="67">
        <v>35555</v>
      </c>
      <c r="D124" s="67">
        <v>35583</v>
      </c>
      <c r="E124" s="67">
        <v>35565</v>
      </c>
      <c r="F124" t="s">
        <v>136</v>
      </c>
      <c r="G124">
        <v>58.59</v>
      </c>
      <c r="H124" t="s">
        <v>190</v>
      </c>
      <c r="I124" t="s">
        <v>191</v>
      </c>
    </row>
    <row r="125" spans="1:9">
      <c r="A125">
        <v>10528</v>
      </c>
      <c r="B125" t="s">
        <v>215</v>
      </c>
      <c r="C125" s="67">
        <v>35556</v>
      </c>
      <c r="D125" s="67">
        <v>35570</v>
      </c>
      <c r="E125" s="67">
        <v>35559</v>
      </c>
      <c r="F125" t="s">
        <v>136</v>
      </c>
      <c r="G125">
        <v>3.35</v>
      </c>
      <c r="H125" t="s">
        <v>215</v>
      </c>
      <c r="I125" t="s">
        <v>145</v>
      </c>
    </row>
    <row r="126" spans="1:9">
      <c r="A126">
        <v>10529</v>
      </c>
      <c r="B126" t="s">
        <v>216</v>
      </c>
      <c r="C126" s="67">
        <v>35557</v>
      </c>
      <c r="D126" s="67">
        <v>35585</v>
      </c>
      <c r="E126" s="67">
        <v>35559</v>
      </c>
      <c r="F126" t="s">
        <v>136</v>
      </c>
      <c r="G126">
        <v>66.69</v>
      </c>
      <c r="H126" t="s">
        <v>216</v>
      </c>
      <c r="I126" t="s">
        <v>139</v>
      </c>
    </row>
    <row r="127" spans="1:9">
      <c r="A127">
        <v>10530</v>
      </c>
      <c r="B127" t="s">
        <v>193</v>
      </c>
      <c r="C127" s="67">
        <v>35558</v>
      </c>
      <c r="D127" s="67">
        <v>35586</v>
      </c>
      <c r="E127" s="67">
        <v>35562</v>
      </c>
      <c r="F127" t="s">
        <v>136</v>
      </c>
      <c r="G127">
        <v>339.22</v>
      </c>
      <c r="H127" t="s">
        <v>193</v>
      </c>
      <c r="I127" t="s">
        <v>183</v>
      </c>
    </row>
    <row r="128" spans="1:9">
      <c r="A128">
        <v>10534</v>
      </c>
      <c r="B128" t="s">
        <v>149</v>
      </c>
      <c r="C128" s="67">
        <v>35562</v>
      </c>
      <c r="D128" s="67">
        <v>35590</v>
      </c>
      <c r="E128" s="67">
        <v>35564</v>
      </c>
      <c r="F128" t="s">
        <v>136</v>
      </c>
      <c r="G128">
        <v>27.94</v>
      </c>
      <c r="H128" t="s">
        <v>149</v>
      </c>
      <c r="I128" t="s">
        <v>150</v>
      </c>
    </row>
    <row r="129" spans="1:9">
      <c r="A129">
        <v>10536</v>
      </c>
      <c r="B129" t="s">
        <v>149</v>
      </c>
      <c r="C129" s="67">
        <v>35564</v>
      </c>
      <c r="D129" s="67">
        <v>35592</v>
      </c>
      <c r="E129" s="67">
        <v>35587</v>
      </c>
      <c r="F129" t="s">
        <v>136</v>
      </c>
      <c r="G129">
        <v>58.88</v>
      </c>
      <c r="H129" t="s">
        <v>149</v>
      </c>
      <c r="I129" t="s">
        <v>150</v>
      </c>
    </row>
    <row r="130" spans="1:9">
      <c r="A130">
        <v>10543</v>
      </c>
      <c r="B130" t="s">
        <v>211</v>
      </c>
      <c r="C130" s="67">
        <v>35571</v>
      </c>
      <c r="D130" s="67">
        <v>35599</v>
      </c>
      <c r="E130" s="67">
        <v>35573</v>
      </c>
      <c r="F130" t="s">
        <v>136</v>
      </c>
      <c r="G130">
        <v>48.17</v>
      </c>
      <c r="H130" t="s">
        <v>211</v>
      </c>
      <c r="I130" t="s">
        <v>208</v>
      </c>
    </row>
    <row r="131" spans="1:9">
      <c r="A131">
        <v>10545</v>
      </c>
      <c r="B131" t="s">
        <v>217</v>
      </c>
      <c r="C131" s="67">
        <v>35572</v>
      </c>
      <c r="D131" s="67">
        <v>35600</v>
      </c>
      <c r="E131" s="67">
        <v>35607</v>
      </c>
      <c r="F131" t="s">
        <v>136</v>
      </c>
      <c r="G131">
        <v>11.92</v>
      </c>
      <c r="H131" t="s">
        <v>217</v>
      </c>
      <c r="I131" t="s">
        <v>145</v>
      </c>
    </row>
    <row r="132" spans="1:9">
      <c r="A132">
        <v>10547</v>
      </c>
      <c r="B132" t="s">
        <v>214</v>
      </c>
      <c r="C132" s="67">
        <v>35573</v>
      </c>
      <c r="D132" s="67">
        <v>35601</v>
      </c>
      <c r="E132" s="67">
        <v>35583</v>
      </c>
      <c r="F132" t="s">
        <v>136</v>
      </c>
      <c r="G132">
        <v>178.43</v>
      </c>
      <c r="H132" t="s">
        <v>214</v>
      </c>
      <c r="I132" t="s">
        <v>169</v>
      </c>
    </row>
    <row r="133" spans="1:9">
      <c r="A133">
        <v>10548</v>
      </c>
      <c r="B133" t="s">
        <v>196</v>
      </c>
      <c r="C133" s="67">
        <v>35576</v>
      </c>
      <c r="D133" s="67">
        <v>35604</v>
      </c>
      <c r="E133" s="67">
        <v>35583</v>
      </c>
      <c r="F133" t="s">
        <v>136</v>
      </c>
      <c r="G133">
        <v>1.43</v>
      </c>
      <c r="H133" t="s">
        <v>196</v>
      </c>
      <c r="I133" t="s">
        <v>150</v>
      </c>
    </row>
    <row r="134" spans="1:9">
      <c r="A134">
        <v>10553</v>
      </c>
      <c r="B134" t="s">
        <v>190</v>
      </c>
      <c r="C134" s="67">
        <v>35580</v>
      </c>
      <c r="D134" s="67">
        <v>35608</v>
      </c>
      <c r="E134" s="67">
        <v>35584</v>
      </c>
      <c r="F134" t="s">
        <v>136</v>
      </c>
      <c r="G134">
        <v>149.49</v>
      </c>
      <c r="H134" t="s">
        <v>190</v>
      </c>
      <c r="I134" t="s">
        <v>191</v>
      </c>
    </row>
    <row r="135" spans="1:9">
      <c r="A135">
        <v>10557</v>
      </c>
      <c r="B135" t="s">
        <v>149</v>
      </c>
      <c r="C135" s="67">
        <v>35584</v>
      </c>
      <c r="D135" s="67">
        <v>35598</v>
      </c>
      <c r="E135" s="67">
        <v>35587</v>
      </c>
      <c r="F135" t="s">
        <v>136</v>
      </c>
      <c r="G135">
        <v>96.72</v>
      </c>
      <c r="H135" t="s">
        <v>149</v>
      </c>
      <c r="I135" t="s">
        <v>150</v>
      </c>
    </row>
    <row r="136" spans="1:9">
      <c r="A136">
        <v>10558</v>
      </c>
      <c r="B136" t="s">
        <v>201</v>
      </c>
      <c r="C136" s="67">
        <v>35585</v>
      </c>
      <c r="D136" s="67">
        <v>35613</v>
      </c>
      <c r="E136" s="67">
        <v>35591</v>
      </c>
      <c r="F136" t="s">
        <v>136</v>
      </c>
      <c r="G136">
        <v>72.97</v>
      </c>
      <c r="H136" t="s">
        <v>201</v>
      </c>
      <c r="I136" t="s">
        <v>169</v>
      </c>
    </row>
    <row r="137" spans="1:9">
      <c r="A137">
        <v>10561</v>
      </c>
      <c r="B137" t="s">
        <v>194</v>
      </c>
      <c r="C137" s="67">
        <v>35587</v>
      </c>
      <c r="D137" s="67">
        <v>35615</v>
      </c>
      <c r="E137" s="67">
        <v>35590</v>
      </c>
      <c r="F137" t="s">
        <v>136</v>
      </c>
      <c r="G137">
        <v>242.21</v>
      </c>
      <c r="H137" t="s">
        <v>194</v>
      </c>
      <c r="I137" t="s">
        <v>148</v>
      </c>
    </row>
    <row r="138" spans="1:9">
      <c r="A138">
        <v>10563</v>
      </c>
      <c r="B138" t="s">
        <v>158</v>
      </c>
      <c r="C138" s="67">
        <v>35591</v>
      </c>
      <c r="D138" s="67">
        <v>35633</v>
      </c>
      <c r="E138" s="67">
        <v>35605</v>
      </c>
      <c r="F138" t="s">
        <v>136</v>
      </c>
      <c r="G138">
        <v>60.43</v>
      </c>
      <c r="H138" t="s">
        <v>158</v>
      </c>
      <c r="I138" t="s">
        <v>137</v>
      </c>
    </row>
    <row r="139" spans="1:9">
      <c r="A139">
        <v>10565</v>
      </c>
      <c r="B139" t="s">
        <v>171</v>
      </c>
      <c r="C139" s="67">
        <v>35592</v>
      </c>
      <c r="D139" s="67">
        <v>35620</v>
      </c>
      <c r="E139" s="67">
        <v>35599</v>
      </c>
      <c r="F139" t="s">
        <v>136</v>
      </c>
      <c r="G139">
        <v>7.15</v>
      </c>
      <c r="H139" t="s">
        <v>171</v>
      </c>
      <c r="I139" t="s">
        <v>172</v>
      </c>
    </row>
    <row r="140" spans="1:9">
      <c r="A140">
        <v>10572</v>
      </c>
      <c r="B140" t="s">
        <v>147</v>
      </c>
      <c r="C140" s="67">
        <v>35599</v>
      </c>
      <c r="D140" s="67">
        <v>35627</v>
      </c>
      <c r="E140" s="67">
        <v>35606</v>
      </c>
      <c r="F140" t="s">
        <v>136</v>
      </c>
      <c r="G140">
        <v>116.43</v>
      </c>
      <c r="H140" t="s">
        <v>147</v>
      </c>
      <c r="I140" t="s">
        <v>148</v>
      </c>
    </row>
    <row r="141" spans="1:9">
      <c r="A141">
        <v>10574</v>
      </c>
      <c r="B141" t="s">
        <v>218</v>
      </c>
      <c r="C141" s="67">
        <v>35600</v>
      </c>
      <c r="D141" s="67">
        <v>35628</v>
      </c>
      <c r="E141" s="67">
        <v>35611</v>
      </c>
      <c r="F141" t="s">
        <v>136</v>
      </c>
      <c r="G141">
        <v>37.6</v>
      </c>
      <c r="H141" t="s">
        <v>218</v>
      </c>
      <c r="I141" t="s">
        <v>145</v>
      </c>
    </row>
    <row r="142" spans="1:9">
      <c r="A142">
        <v>10577</v>
      </c>
      <c r="B142" t="s">
        <v>218</v>
      </c>
      <c r="C142" s="67">
        <v>35604</v>
      </c>
      <c r="D142" s="67">
        <v>35646</v>
      </c>
      <c r="E142" s="67">
        <v>35611</v>
      </c>
      <c r="F142" t="s">
        <v>136</v>
      </c>
      <c r="G142">
        <v>25.41</v>
      </c>
      <c r="H142" t="s">
        <v>218</v>
      </c>
      <c r="I142" t="s">
        <v>145</v>
      </c>
    </row>
    <row r="143" spans="1:9">
      <c r="A143">
        <v>10579</v>
      </c>
      <c r="B143" t="s">
        <v>219</v>
      </c>
      <c r="C143" s="67">
        <v>35606</v>
      </c>
      <c r="D143" s="67">
        <v>35634</v>
      </c>
      <c r="E143" s="67">
        <v>35615</v>
      </c>
      <c r="F143" t="s">
        <v>136</v>
      </c>
      <c r="G143">
        <v>13.73</v>
      </c>
      <c r="H143" t="s">
        <v>219</v>
      </c>
      <c r="I143" t="s">
        <v>145</v>
      </c>
    </row>
    <row r="144" spans="1:9">
      <c r="A144">
        <v>10582</v>
      </c>
      <c r="B144" t="s">
        <v>220</v>
      </c>
      <c r="C144" s="67">
        <v>35608</v>
      </c>
      <c r="D144" s="67">
        <v>35636</v>
      </c>
      <c r="E144" s="67">
        <v>35625</v>
      </c>
      <c r="F144" t="s">
        <v>136</v>
      </c>
      <c r="G144">
        <v>27.71</v>
      </c>
      <c r="H144" t="s">
        <v>220</v>
      </c>
      <c r="I144" t="s">
        <v>150</v>
      </c>
    </row>
    <row r="145" spans="1:9">
      <c r="A145">
        <v>10583</v>
      </c>
      <c r="B145" t="s">
        <v>190</v>
      </c>
      <c r="C145" s="67">
        <v>35611</v>
      </c>
      <c r="D145" s="67">
        <v>35639</v>
      </c>
      <c r="E145" s="67">
        <v>35615</v>
      </c>
      <c r="F145" t="s">
        <v>136</v>
      </c>
      <c r="G145">
        <v>7.28</v>
      </c>
      <c r="H145" t="s">
        <v>190</v>
      </c>
      <c r="I145" t="s">
        <v>191</v>
      </c>
    </row>
    <row r="146" spans="1:9">
      <c r="A146">
        <v>10589</v>
      </c>
      <c r="B146" t="s">
        <v>215</v>
      </c>
      <c r="C146" s="67">
        <v>35615</v>
      </c>
      <c r="D146" s="67">
        <v>35643</v>
      </c>
      <c r="E146" s="67">
        <v>35625</v>
      </c>
      <c r="F146" t="s">
        <v>136</v>
      </c>
      <c r="G146">
        <v>4.42</v>
      </c>
      <c r="H146" t="s">
        <v>215</v>
      </c>
      <c r="I146" t="s">
        <v>145</v>
      </c>
    </row>
    <row r="147" spans="1:9">
      <c r="A147">
        <v>10593</v>
      </c>
      <c r="B147" t="s">
        <v>149</v>
      </c>
      <c r="C147" s="67">
        <v>35620</v>
      </c>
      <c r="D147" s="67">
        <v>35648</v>
      </c>
      <c r="E147" s="67">
        <v>35655</v>
      </c>
      <c r="F147" t="s">
        <v>136</v>
      </c>
      <c r="G147">
        <v>174.2</v>
      </c>
      <c r="H147" t="s">
        <v>149</v>
      </c>
      <c r="I147" t="s">
        <v>150</v>
      </c>
    </row>
    <row r="148" spans="1:9">
      <c r="A148">
        <v>10594</v>
      </c>
      <c r="B148" t="s">
        <v>198</v>
      </c>
      <c r="C148" s="67">
        <v>35620</v>
      </c>
      <c r="D148" s="67">
        <v>35648</v>
      </c>
      <c r="E148" s="67">
        <v>35627</v>
      </c>
      <c r="F148" t="s">
        <v>136</v>
      </c>
      <c r="G148">
        <v>5.24</v>
      </c>
      <c r="H148" t="s">
        <v>198</v>
      </c>
      <c r="I148" t="s">
        <v>145</v>
      </c>
    </row>
    <row r="149" spans="1:9">
      <c r="A149">
        <v>10602</v>
      </c>
      <c r="B149" t="s">
        <v>221</v>
      </c>
      <c r="C149" s="67">
        <v>35628</v>
      </c>
      <c r="D149" s="67">
        <v>35656</v>
      </c>
      <c r="E149" s="67">
        <v>35633</v>
      </c>
      <c r="F149" t="s">
        <v>136</v>
      </c>
      <c r="G149">
        <v>2.92</v>
      </c>
      <c r="H149" t="s">
        <v>221</v>
      </c>
      <c r="I149" t="s">
        <v>222</v>
      </c>
    </row>
    <row r="150" spans="1:9">
      <c r="A150">
        <v>10603</v>
      </c>
      <c r="B150" t="s">
        <v>197</v>
      </c>
      <c r="C150" s="67">
        <v>35629</v>
      </c>
      <c r="D150" s="67">
        <v>35657</v>
      </c>
      <c r="E150" s="67">
        <v>35650</v>
      </c>
      <c r="F150" t="s">
        <v>136</v>
      </c>
      <c r="G150">
        <v>48.77</v>
      </c>
      <c r="H150" t="s">
        <v>197</v>
      </c>
      <c r="I150" t="s">
        <v>145</v>
      </c>
    </row>
    <row r="151" spans="1:9">
      <c r="A151">
        <v>10605</v>
      </c>
      <c r="B151" t="s">
        <v>171</v>
      </c>
      <c r="C151" s="67">
        <v>35632</v>
      </c>
      <c r="D151" s="67">
        <v>35660</v>
      </c>
      <c r="E151" s="67">
        <v>35640</v>
      </c>
      <c r="F151" t="s">
        <v>136</v>
      </c>
      <c r="G151">
        <v>379.13</v>
      </c>
      <c r="H151" t="s">
        <v>171</v>
      </c>
      <c r="I151" t="s">
        <v>172</v>
      </c>
    </row>
    <row r="152" spans="1:9">
      <c r="A152">
        <v>10608</v>
      </c>
      <c r="B152" t="s">
        <v>196</v>
      </c>
      <c r="C152" s="67">
        <v>35634</v>
      </c>
      <c r="D152" s="67">
        <v>35662</v>
      </c>
      <c r="E152" s="67">
        <v>35643</v>
      </c>
      <c r="F152" t="s">
        <v>136</v>
      </c>
      <c r="G152">
        <v>27.79</v>
      </c>
      <c r="H152" t="s">
        <v>196</v>
      </c>
      <c r="I152" t="s">
        <v>150</v>
      </c>
    </row>
    <row r="153" spans="1:9">
      <c r="A153">
        <v>10609</v>
      </c>
      <c r="B153" t="s">
        <v>223</v>
      </c>
      <c r="C153" s="67">
        <v>35635</v>
      </c>
      <c r="D153" s="67">
        <v>35663</v>
      </c>
      <c r="E153" s="67">
        <v>35641</v>
      </c>
      <c r="F153" t="s">
        <v>136</v>
      </c>
      <c r="G153">
        <v>1.85</v>
      </c>
      <c r="H153" t="s">
        <v>223</v>
      </c>
      <c r="I153" t="s">
        <v>154</v>
      </c>
    </row>
    <row r="154" spans="1:9">
      <c r="A154">
        <v>10611</v>
      </c>
      <c r="B154" t="s">
        <v>224</v>
      </c>
      <c r="C154" s="67">
        <v>35636</v>
      </c>
      <c r="D154" s="67">
        <v>35664</v>
      </c>
      <c r="E154" s="67">
        <v>35643</v>
      </c>
      <c r="F154" t="s">
        <v>136</v>
      </c>
      <c r="G154">
        <v>80.65</v>
      </c>
      <c r="H154" t="s">
        <v>225</v>
      </c>
      <c r="I154" t="s">
        <v>226</v>
      </c>
    </row>
    <row r="155" spans="1:9">
      <c r="A155">
        <v>10612</v>
      </c>
      <c r="B155" t="s">
        <v>197</v>
      </c>
      <c r="C155" s="67">
        <v>35639</v>
      </c>
      <c r="D155" s="67">
        <v>35667</v>
      </c>
      <c r="E155" s="67">
        <v>35643</v>
      </c>
      <c r="F155" t="s">
        <v>136</v>
      </c>
      <c r="G155">
        <v>544.08</v>
      </c>
      <c r="H155" t="s">
        <v>197</v>
      </c>
      <c r="I155" t="s">
        <v>145</v>
      </c>
    </row>
    <row r="156" spans="1:9">
      <c r="A156">
        <v>10613</v>
      </c>
      <c r="B156" t="s">
        <v>209</v>
      </c>
      <c r="C156" s="67">
        <v>35640</v>
      </c>
      <c r="D156" s="67">
        <v>35668</v>
      </c>
      <c r="E156" s="67">
        <v>35643</v>
      </c>
      <c r="F156" t="s">
        <v>136</v>
      </c>
      <c r="G156">
        <v>8.11</v>
      </c>
      <c r="H156" t="s">
        <v>209</v>
      </c>
      <c r="I156" t="s">
        <v>208</v>
      </c>
    </row>
    <row r="157" spans="1:9">
      <c r="A157">
        <v>10616</v>
      </c>
      <c r="B157" t="s">
        <v>215</v>
      </c>
      <c r="C157" s="67">
        <v>35642</v>
      </c>
      <c r="D157" s="67">
        <v>35670</v>
      </c>
      <c r="E157" s="67">
        <v>35647</v>
      </c>
      <c r="F157" t="s">
        <v>136</v>
      </c>
      <c r="G157">
        <v>116.53</v>
      </c>
      <c r="H157" t="s">
        <v>215</v>
      </c>
      <c r="I157" t="s">
        <v>145</v>
      </c>
    </row>
    <row r="158" spans="1:9">
      <c r="A158">
        <v>10617</v>
      </c>
      <c r="B158" t="s">
        <v>215</v>
      </c>
      <c r="C158" s="67">
        <v>35642</v>
      </c>
      <c r="D158" s="67">
        <v>35670</v>
      </c>
      <c r="E158" s="67">
        <v>35646</v>
      </c>
      <c r="F158" t="s">
        <v>136</v>
      </c>
      <c r="G158">
        <v>18.53</v>
      </c>
      <c r="H158" t="s">
        <v>215</v>
      </c>
      <c r="I158" t="s">
        <v>145</v>
      </c>
    </row>
    <row r="159" spans="1:9">
      <c r="A159">
        <v>10621</v>
      </c>
      <c r="B159" t="s">
        <v>168</v>
      </c>
      <c r="C159" s="67">
        <v>35647</v>
      </c>
      <c r="D159" s="67">
        <v>35675</v>
      </c>
      <c r="E159" s="67">
        <v>35653</v>
      </c>
      <c r="F159" t="s">
        <v>136</v>
      </c>
      <c r="G159">
        <v>23.73</v>
      </c>
      <c r="H159" t="s">
        <v>168</v>
      </c>
      <c r="I159" t="s">
        <v>169</v>
      </c>
    </row>
    <row r="160" spans="1:9">
      <c r="A160">
        <v>10623</v>
      </c>
      <c r="B160" t="s">
        <v>176</v>
      </c>
      <c r="C160" s="67">
        <v>35649</v>
      </c>
      <c r="D160" s="67">
        <v>35677</v>
      </c>
      <c r="E160" s="67">
        <v>35654</v>
      </c>
      <c r="F160" t="s">
        <v>136</v>
      </c>
      <c r="G160">
        <v>97.18</v>
      </c>
      <c r="H160" t="s">
        <v>176</v>
      </c>
      <c r="I160" t="s">
        <v>150</v>
      </c>
    </row>
    <row r="161" spans="1:9">
      <c r="A161">
        <v>10624</v>
      </c>
      <c r="B161" t="s">
        <v>227</v>
      </c>
      <c r="C161" s="67">
        <v>35649</v>
      </c>
      <c r="D161" s="67">
        <v>35677</v>
      </c>
      <c r="E161" s="67">
        <v>35661</v>
      </c>
      <c r="F161" t="s">
        <v>136</v>
      </c>
      <c r="G161">
        <v>94.8</v>
      </c>
      <c r="H161" t="s">
        <v>227</v>
      </c>
      <c r="I161" t="s">
        <v>145</v>
      </c>
    </row>
    <row r="162" spans="1:9">
      <c r="A162">
        <v>10626</v>
      </c>
      <c r="B162" t="s">
        <v>147</v>
      </c>
      <c r="C162" s="67">
        <v>35653</v>
      </c>
      <c r="D162" s="67">
        <v>35681</v>
      </c>
      <c r="E162" s="67">
        <v>35662</v>
      </c>
      <c r="F162" t="s">
        <v>136</v>
      </c>
      <c r="G162">
        <v>138.69</v>
      </c>
      <c r="H162" t="s">
        <v>147</v>
      </c>
      <c r="I162" t="s">
        <v>148</v>
      </c>
    </row>
    <row r="163" spans="1:9">
      <c r="A163">
        <v>10630</v>
      </c>
      <c r="B163" t="s">
        <v>202</v>
      </c>
      <c r="C163" s="67">
        <v>35655</v>
      </c>
      <c r="D163" s="67">
        <v>35683</v>
      </c>
      <c r="E163" s="67">
        <v>35661</v>
      </c>
      <c r="F163" t="s">
        <v>136</v>
      </c>
      <c r="G163">
        <v>32.35</v>
      </c>
      <c r="H163" t="s">
        <v>202</v>
      </c>
      <c r="I163" t="s">
        <v>150</v>
      </c>
    </row>
    <row r="164" spans="1:9">
      <c r="A164">
        <v>10641</v>
      </c>
      <c r="B164" t="s">
        <v>209</v>
      </c>
      <c r="C164" s="67">
        <v>35664</v>
      </c>
      <c r="D164" s="67">
        <v>35692</v>
      </c>
      <c r="E164" s="67">
        <v>35668</v>
      </c>
      <c r="F164" t="s">
        <v>136</v>
      </c>
      <c r="G164">
        <v>179.61</v>
      </c>
      <c r="H164" t="s">
        <v>209</v>
      </c>
      <c r="I164" t="s">
        <v>208</v>
      </c>
    </row>
    <row r="165" spans="1:9">
      <c r="A165">
        <v>10644</v>
      </c>
      <c r="B165" t="s">
        <v>142</v>
      </c>
      <c r="C165" s="67">
        <v>35667</v>
      </c>
      <c r="D165" s="67">
        <v>35695</v>
      </c>
      <c r="E165" s="67">
        <v>35674</v>
      </c>
      <c r="F165" t="s">
        <v>136</v>
      </c>
      <c r="G165">
        <v>0.14</v>
      </c>
      <c r="H165" t="s">
        <v>142</v>
      </c>
      <c r="I165" t="s">
        <v>137</v>
      </c>
    </row>
    <row r="166" spans="1:9">
      <c r="A166">
        <v>10647</v>
      </c>
      <c r="B166" t="s">
        <v>143</v>
      </c>
      <c r="C166" s="67">
        <v>35669</v>
      </c>
      <c r="D166" s="67">
        <v>35683</v>
      </c>
      <c r="E166" s="67">
        <v>35676</v>
      </c>
      <c r="F166" t="s">
        <v>136</v>
      </c>
      <c r="G166">
        <v>45.54</v>
      </c>
      <c r="H166" t="s">
        <v>143</v>
      </c>
      <c r="I166" t="s">
        <v>137</v>
      </c>
    </row>
    <row r="167" spans="1:9">
      <c r="A167">
        <v>10648</v>
      </c>
      <c r="B167" t="s">
        <v>158</v>
      </c>
      <c r="C167" s="67">
        <v>35670</v>
      </c>
      <c r="D167" s="67">
        <v>35712</v>
      </c>
      <c r="E167" s="67">
        <v>35682</v>
      </c>
      <c r="F167" t="s">
        <v>136</v>
      </c>
      <c r="G167">
        <v>14.25</v>
      </c>
      <c r="H167" t="s">
        <v>158</v>
      </c>
      <c r="I167" t="s">
        <v>137</v>
      </c>
    </row>
    <row r="168" spans="1:9">
      <c r="A168">
        <v>10651</v>
      </c>
      <c r="B168" t="s">
        <v>161</v>
      </c>
      <c r="C168" s="67">
        <v>35674</v>
      </c>
      <c r="D168" s="67">
        <v>35702</v>
      </c>
      <c r="E168" s="67">
        <v>35684</v>
      </c>
      <c r="F168" t="s">
        <v>136</v>
      </c>
      <c r="G168">
        <v>20.6</v>
      </c>
      <c r="H168" t="s">
        <v>161</v>
      </c>
      <c r="I168" t="s">
        <v>150</v>
      </c>
    </row>
    <row r="169" spans="1:9">
      <c r="A169">
        <v>10652</v>
      </c>
      <c r="B169" t="s">
        <v>228</v>
      </c>
      <c r="C169" s="67">
        <v>35674</v>
      </c>
      <c r="D169" s="67">
        <v>35702</v>
      </c>
      <c r="E169" s="67">
        <v>35681</v>
      </c>
      <c r="F169" t="s">
        <v>136</v>
      </c>
      <c r="G169">
        <v>7.14</v>
      </c>
      <c r="H169" t="s">
        <v>228</v>
      </c>
      <c r="I169" t="s">
        <v>137</v>
      </c>
    </row>
    <row r="170" spans="1:9">
      <c r="A170">
        <v>10655</v>
      </c>
      <c r="B170" t="s">
        <v>229</v>
      </c>
      <c r="C170" s="67">
        <v>35676</v>
      </c>
      <c r="D170" s="67">
        <v>35704</v>
      </c>
      <c r="E170" s="67">
        <v>35684</v>
      </c>
      <c r="F170" t="s">
        <v>136</v>
      </c>
      <c r="G170">
        <v>4.41</v>
      </c>
      <c r="H170" t="s">
        <v>229</v>
      </c>
      <c r="I170" t="s">
        <v>160</v>
      </c>
    </row>
    <row r="171" spans="1:9">
      <c r="A171">
        <v>10657</v>
      </c>
      <c r="B171" t="s">
        <v>197</v>
      </c>
      <c r="C171" s="67">
        <v>35677</v>
      </c>
      <c r="D171" s="67">
        <v>35705</v>
      </c>
      <c r="E171" s="67">
        <v>35688</v>
      </c>
      <c r="F171" t="s">
        <v>136</v>
      </c>
      <c r="G171">
        <v>352.69</v>
      </c>
      <c r="H171" t="s">
        <v>197</v>
      </c>
      <c r="I171" t="s">
        <v>145</v>
      </c>
    </row>
    <row r="172" spans="1:9">
      <c r="A172">
        <v>10659</v>
      </c>
      <c r="B172" t="s">
        <v>184</v>
      </c>
      <c r="C172" s="67">
        <v>35678</v>
      </c>
      <c r="D172" s="67">
        <v>35706</v>
      </c>
      <c r="E172" s="67">
        <v>35683</v>
      </c>
      <c r="F172" t="s">
        <v>136</v>
      </c>
      <c r="G172">
        <v>105.81</v>
      </c>
      <c r="H172" t="s">
        <v>184</v>
      </c>
      <c r="I172" t="s">
        <v>137</v>
      </c>
    </row>
    <row r="173" spans="1:9">
      <c r="A173">
        <v>10662</v>
      </c>
      <c r="B173" t="s">
        <v>166</v>
      </c>
      <c r="C173" s="67">
        <v>35682</v>
      </c>
      <c r="D173" s="67">
        <v>35710</v>
      </c>
      <c r="E173" s="67">
        <v>35691</v>
      </c>
      <c r="F173" t="s">
        <v>136</v>
      </c>
      <c r="G173">
        <v>1.28</v>
      </c>
      <c r="H173" t="s">
        <v>166</v>
      </c>
      <c r="I173" t="s">
        <v>145</v>
      </c>
    </row>
    <row r="174" spans="1:9">
      <c r="A174">
        <v>10663</v>
      </c>
      <c r="B174" t="s">
        <v>204</v>
      </c>
      <c r="C174" s="67">
        <v>35683</v>
      </c>
      <c r="D174" s="67">
        <v>35697</v>
      </c>
      <c r="E174" s="67">
        <v>35706</v>
      </c>
      <c r="F174" t="s">
        <v>136</v>
      </c>
      <c r="G174">
        <v>113.15</v>
      </c>
      <c r="H174" t="s">
        <v>204</v>
      </c>
      <c r="I174" t="s">
        <v>154</v>
      </c>
    </row>
    <row r="175" spans="1:9">
      <c r="A175">
        <v>10665</v>
      </c>
      <c r="B175" t="s">
        <v>166</v>
      </c>
      <c r="C175" s="67">
        <v>35684</v>
      </c>
      <c r="D175" s="67">
        <v>35712</v>
      </c>
      <c r="E175" s="67">
        <v>35690</v>
      </c>
      <c r="F175" t="s">
        <v>136</v>
      </c>
      <c r="G175">
        <v>26.31</v>
      </c>
      <c r="H175" t="s">
        <v>166</v>
      </c>
      <c r="I175" t="s">
        <v>145</v>
      </c>
    </row>
    <row r="176" spans="1:9">
      <c r="A176">
        <v>10666</v>
      </c>
      <c r="B176" t="s">
        <v>192</v>
      </c>
      <c r="C176" s="67">
        <v>35685</v>
      </c>
      <c r="D176" s="67">
        <v>35713</v>
      </c>
      <c r="E176" s="67">
        <v>35695</v>
      </c>
      <c r="F176" t="s">
        <v>136</v>
      </c>
      <c r="G176">
        <v>232.42</v>
      </c>
      <c r="H176" t="s">
        <v>192</v>
      </c>
      <c r="I176" t="s">
        <v>141</v>
      </c>
    </row>
    <row r="177" spans="1:9">
      <c r="A177">
        <v>10668</v>
      </c>
      <c r="B177" t="s">
        <v>161</v>
      </c>
      <c r="C177" s="67">
        <v>35688</v>
      </c>
      <c r="D177" s="67">
        <v>35716</v>
      </c>
      <c r="E177" s="67">
        <v>35696</v>
      </c>
      <c r="F177" t="s">
        <v>136</v>
      </c>
      <c r="G177">
        <v>47.22</v>
      </c>
      <c r="H177" t="s">
        <v>161</v>
      </c>
      <c r="I177" t="s">
        <v>150</v>
      </c>
    </row>
    <row r="178" spans="1:9">
      <c r="A178">
        <v>10672</v>
      </c>
      <c r="B178" t="s">
        <v>147</v>
      </c>
      <c r="C178" s="67">
        <v>35690</v>
      </c>
      <c r="D178" s="67">
        <v>35704</v>
      </c>
      <c r="E178" s="67">
        <v>35699</v>
      </c>
      <c r="F178" t="s">
        <v>136</v>
      </c>
      <c r="G178">
        <v>95.75</v>
      </c>
      <c r="H178" t="s">
        <v>147</v>
      </c>
      <c r="I178" t="s">
        <v>148</v>
      </c>
    </row>
    <row r="179" spans="1:9">
      <c r="A179">
        <v>10674</v>
      </c>
      <c r="B179" t="s">
        <v>168</v>
      </c>
      <c r="C179" s="67">
        <v>35691</v>
      </c>
      <c r="D179" s="67">
        <v>35719</v>
      </c>
      <c r="E179" s="67">
        <v>35703</v>
      </c>
      <c r="F179" t="s">
        <v>136</v>
      </c>
      <c r="G179">
        <v>0.9</v>
      </c>
      <c r="H179" t="s">
        <v>168</v>
      </c>
      <c r="I179" t="s">
        <v>169</v>
      </c>
    </row>
    <row r="180" spans="1:9">
      <c r="A180">
        <v>10675</v>
      </c>
      <c r="B180" t="s">
        <v>176</v>
      </c>
      <c r="C180" s="67">
        <v>35692</v>
      </c>
      <c r="D180" s="67">
        <v>35720</v>
      </c>
      <c r="E180" s="67">
        <v>35696</v>
      </c>
      <c r="F180" t="s">
        <v>136</v>
      </c>
      <c r="G180">
        <v>31.85</v>
      </c>
      <c r="H180" t="s">
        <v>176</v>
      </c>
      <c r="I180" t="s">
        <v>150</v>
      </c>
    </row>
    <row r="181" spans="1:9">
      <c r="A181">
        <v>10676</v>
      </c>
      <c r="B181" t="s">
        <v>164</v>
      </c>
      <c r="C181" s="67">
        <v>35695</v>
      </c>
      <c r="D181" s="67">
        <v>35723</v>
      </c>
      <c r="E181" s="67">
        <v>35702</v>
      </c>
      <c r="F181" t="s">
        <v>136</v>
      </c>
      <c r="G181">
        <v>2.01</v>
      </c>
      <c r="H181" t="s">
        <v>164</v>
      </c>
      <c r="I181" t="s">
        <v>165</v>
      </c>
    </row>
    <row r="182" spans="1:9">
      <c r="A182">
        <v>10682</v>
      </c>
      <c r="B182" t="s">
        <v>179</v>
      </c>
      <c r="C182" s="67">
        <v>35698</v>
      </c>
      <c r="D182" s="67">
        <v>35726</v>
      </c>
      <c r="E182" s="67">
        <v>35704</v>
      </c>
      <c r="F182" t="s">
        <v>136</v>
      </c>
      <c r="G182">
        <v>36.13</v>
      </c>
      <c r="H182" t="s">
        <v>179</v>
      </c>
      <c r="I182" t="s">
        <v>165</v>
      </c>
    </row>
    <row r="183" spans="1:9">
      <c r="A183">
        <v>10685</v>
      </c>
      <c r="B183" t="s">
        <v>228</v>
      </c>
      <c r="C183" s="67">
        <v>35702</v>
      </c>
      <c r="D183" s="67">
        <v>35716</v>
      </c>
      <c r="E183" s="67">
        <v>35706</v>
      </c>
      <c r="F183" t="s">
        <v>136</v>
      </c>
      <c r="G183">
        <v>33.75</v>
      </c>
      <c r="H183" t="s">
        <v>228</v>
      </c>
      <c r="I183" t="s">
        <v>137</v>
      </c>
    </row>
    <row r="184" spans="1:9">
      <c r="A184">
        <v>10687</v>
      </c>
      <c r="B184" t="s">
        <v>156</v>
      </c>
      <c r="C184" s="67">
        <v>35703</v>
      </c>
      <c r="D184" s="67">
        <v>35731</v>
      </c>
      <c r="E184" s="67">
        <v>35733</v>
      </c>
      <c r="F184" t="s">
        <v>136</v>
      </c>
      <c r="G184">
        <v>296.43</v>
      </c>
      <c r="H184" t="s">
        <v>156</v>
      </c>
      <c r="I184" t="s">
        <v>157</v>
      </c>
    </row>
    <row r="185" spans="1:9">
      <c r="A185">
        <v>10688</v>
      </c>
      <c r="B185" t="s">
        <v>221</v>
      </c>
      <c r="C185" s="67">
        <v>35704</v>
      </c>
      <c r="D185" s="67">
        <v>35718</v>
      </c>
      <c r="E185" s="67">
        <v>35710</v>
      </c>
      <c r="F185" t="s">
        <v>136</v>
      </c>
      <c r="G185">
        <v>299.09</v>
      </c>
      <c r="H185" t="s">
        <v>221</v>
      </c>
      <c r="I185" t="s">
        <v>222</v>
      </c>
    </row>
    <row r="186" spans="1:9">
      <c r="A186">
        <v>10689</v>
      </c>
      <c r="B186" t="s">
        <v>147</v>
      </c>
      <c r="C186" s="67">
        <v>35704</v>
      </c>
      <c r="D186" s="67">
        <v>35732</v>
      </c>
      <c r="E186" s="67">
        <v>35710</v>
      </c>
      <c r="F186" t="s">
        <v>136</v>
      </c>
      <c r="G186">
        <v>13.42</v>
      </c>
      <c r="H186" t="s">
        <v>147</v>
      </c>
      <c r="I186" t="s">
        <v>148</v>
      </c>
    </row>
    <row r="187" spans="1:9">
      <c r="A187">
        <v>10691</v>
      </c>
      <c r="B187" t="s">
        <v>151</v>
      </c>
      <c r="C187" s="67">
        <v>35706</v>
      </c>
      <c r="D187" s="67">
        <v>35748</v>
      </c>
      <c r="E187" s="67">
        <v>35725</v>
      </c>
      <c r="F187" t="s">
        <v>136</v>
      </c>
      <c r="G187">
        <v>810.05</v>
      </c>
      <c r="H187" t="s">
        <v>151</v>
      </c>
      <c r="I187" t="s">
        <v>150</v>
      </c>
    </row>
    <row r="188" spans="1:9">
      <c r="A188">
        <v>10692</v>
      </c>
      <c r="B188" t="s">
        <v>230</v>
      </c>
      <c r="C188" s="67">
        <v>35706</v>
      </c>
      <c r="D188" s="67">
        <v>35734</v>
      </c>
      <c r="E188" s="67">
        <v>35716</v>
      </c>
      <c r="F188" t="s">
        <v>136</v>
      </c>
      <c r="G188">
        <v>61.02</v>
      </c>
      <c r="H188" t="s">
        <v>230</v>
      </c>
      <c r="I188" t="s">
        <v>150</v>
      </c>
    </row>
    <row r="189" spans="1:9">
      <c r="A189">
        <v>10703</v>
      </c>
      <c r="B189" t="s">
        <v>194</v>
      </c>
      <c r="C189" s="67">
        <v>35717</v>
      </c>
      <c r="D189" s="67">
        <v>35745</v>
      </c>
      <c r="E189" s="67">
        <v>35723</v>
      </c>
      <c r="F189" t="s">
        <v>136</v>
      </c>
      <c r="G189">
        <v>152.3</v>
      </c>
      <c r="H189" t="s">
        <v>194</v>
      </c>
      <c r="I189" t="s">
        <v>148</v>
      </c>
    </row>
    <row r="190" spans="1:9">
      <c r="A190">
        <v>10705</v>
      </c>
      <c r="B190" t="s">
        <v>209</v>
      </c>
      <c r="C190" s="67">
        <v>35718</v>
      </c>
      <c r="D190" s="67">
        <v>35746</v>
      </c>
      <c r="E190" s="67">
        <v>35752</v>
      </c>
      <c r="F190" t="s">
        <v>136</v>
      </c>
      <c r="G190">
        <v>3.52</v>
      </c>
      <c r="H190" t="s">
        <v>209</v>
      </c>
      <c r="I190" t="s">
        <v>208</v>
      </c>
    </row>
    <row r="191" spans="1:9">
      <c r="A191">
        <v>10708</v>
      </c>
      <c r="B191" t="s">
        <v>167</v>
      </c>
      <c r="C191" s="67">
        <v>35720</v>
      </c>
      <c r="D191" s="67">
        <v>35762</v>
      </c>
      <c r="E191" s="67">
        <v>35739</v>
      </c>
      <c r="F191" t="s">
        <v>136</v>
      </c>
      <c r="G191">
        <v>2.96</v>
      </c>
      <c r="H191" t="s">
        <v>167</v>
      </c>
      <c r="I191" t="s">
        <v>145</v>
      </c>
    </row>
    <row r="192" spans="1:9">
      <c r="A192">
        <v>10711</v>
      </c>
      <c r="B192" t="s">
        <v>197</v>
      </c>
      <c r="C192" s="67">
        <v>35724</v>
      </c>
      <c r="D192" s="67">
        <v>35766</v>
      </c>
      <c r="E192" s="67">
        <v>35732</v>
      </c>
      <c r="F192" t="s">
        <v>136</v>
      </c>
      <c r="G192">
        <v>52.41</v>
      </c>
      <c r="H192" t="s">
        <v>197</v>
      </c>
      <c r="I192" t="s">
        <v>145</v>
      </c>
    </row>
    <row r="193" spans="1:9">
      <c r="A193">
        <v>10716</v>
      </c>
      <c r="B193" t="s">
        <v>199</v>
      </c>
      <c r="C193" s="67">
        <v>35727</v>
      </c>
      <c r="D193" s="67">
        <v>35755</v>
      </c>
      <c r="E193" s="67">
        <v>35730</v>
      </c>
      <c r="F193" t="s">
        <v>136</v>
      </c>
      <c r="G193">
        <v>22.57</v>
      </c>
      <c r="H193" t="s">
        <v>199</v>
      </c>
      <c r="I193" t="s">
        <v>200</v>
      </c>
    </row>
    <row r="194" spans="1:9">
      <c r="A194">
        <v>10717</v>
      </c>
      <c r="B194" t="s">
        <v>176</v>
      </c>
      <c r="C194" s="67">
        <v>35727</v>
      </c>
      <c r="D194" s="67">
        <v>35755</v>
      </c>
      <c r="E194" s="67">
        <v>35732</v>
      </c>
      <c r="F194" t="s">
        <v>136</v>
      </c>
      <c r="G194">
        <v>59.25</v>
      </c>
      <c r="H194" t="s">
        <v>176</v>
      </c>
      <c r="I194" t="s">
        <v>150</v>
      </c>
    </row>
    <row r="195" spans="1:9">
      <c r="A195">
        <v>10719</v>
      </c>
      <c r="B195" t="s">
        <v>219</v>
      </c>
      <c r="C195" s="67">
        <v>35730</v>
      </c>
      <c r="D195" s="67">
        <v>35758</v>
      </c>
      <c r="E195" s="67">
        <v>35739</v>
      </c>
      <c r="F195" t="s">
        <v>136</v>
      </c>
      <c r="G195">
        <v>51.44</v>
      </c>
      <c r="H195" t="s">
        <v>219</v>
      </c>
      <c r="I195" t="s">
        <v>145</v>
      </c>
    </row>
    <row r="196" spans="1:9">
      <c r="A196">
        <v>10720</v>
      </c>
      <c r="B196" t="s">
        <v>143</v>
      </c>
      <c r="C196" s="67">
        <v>35731</v>
      </c>
      <c r="D196" s="67">
        <v>35745</v>
      </c>
      <c r="E196" s="67">
        <v>35739</v>
      </c>
      <c r="F196" t="s">
        <v>136</v>
      </c>
      <c r="G196">
        <v>9.53</v>
      </c>
      <c r="H196" t="s">
        <v>143</v>
      </c>
      <c r="I196" t="s">
        <v>137</v>
      </c>
    </row>
    <row r="197" spans="1:9">
      <c r="A197">
        <v>10724</v>
      </c>
      <c r="B197" t="s">
        <v>171</v>
      </c>
      <c r="C197" s="67">
        <v>35733</v>
      </c>
      <c r="D197" s="67">
        <v>35775</v>
      </c>
      <c r="E197" s="67">
        <v>35739</v>
      </c>
      <c r="F197" t="s">
        <v>136</v>
      </c>
      <c r="G197">
        <v>57.75</v>
      </c>
      <c r="H197" t="s">
        <v>171</v>
      </c>
      <c r="I197" t="s">
        <v>172</v>
      </c>
    </row>
    <row r="198" spans="1:9">
      <c r="A198">
        <v>10728</v>
      </c>
      <c r="B198" t="s">
        <v>184</v>
      </c>
      <c r="C198" s="67">
        <v>35738</v>
      </c>
      <c r="D198" s="67">
        <v>35766</v>
      </c>
      <c r="E198" s="67">
        <v>35745</v>
      </c>
      <c r="F198" t="s">
        <v>136</v>
      </c>
      <c r="G198">
        <v>58.33</v>
      </c>
      <c r="H198" t="s">
        <v>184</v>
      </c>
      <c r="I198" t="s">
        <v>137</v>
      </c>
    </row>
    <row r="199" spans="1:9">
      <c r="A199">
        <v>10735</v>
      </c>
      <c r="B199" t="s">
        <v>219</v>
      </c>
      <c r="C199" s="67">
        <v>35744</v>
      </c>
      <c r="D199" s="67">
        <v>35772</v>
      </c>
      <c r="E199" s="67">
        <v>35755</v>
      </c>
      <c r="F199" t="s">
        <v>136</v>
      </c>
      <c r="G199">
        <v>45.97</v>
      </c>
      <c r="H199" t="s">
        <v>219</v>
      </c>
      <c r="I199" t="s">
        <v>145</v>
      </c>
    </row>
    <row r="200" spans="1:9">
      <c r="A200">
        <v>10736</v>
      </c>
      <c r="B200" t="s">
        <v>156</v>
      </c>
      <c r="C200" s="67">
        <v>35745</v>
      </c>
      <c r="D200" s="67">
        <v>35773</v>
      </c>
      <c r="E200" s="67">
        <v>35755</v>
      </c>
      <c r="F200" t="s">
        <v>136</v>
      </c>
      <c r="G200">
        <v>44.1</v>
      </c>
      <c r="H200" t="s">
        <v>156</v>
      </c>
      <c r="I200" t="s">
        <v>157</v>
      </c>
    </row>
    <row r="201" spans="1:9">
      <c r="A201">
        <v>10737</v>
      </c>
      <c r="B201" t="s">
        <v>153</v>
      </c>
      <c r="C201" s="67">
        <v>35745</v>
      </c>
      <c r="D201" s="67">
        <v>35773</v>
      </c>
      <c r="E201" s="67">
        <v>35752</v>
      </c>
      <c r="F201" t="s">
        <v>136</v>
      </c>
      <c r="G201">
        <v>7.79</v>
      </c>
      <c r="H201" t="s">
        <v>153</v>
      </c>
      <c r="I201" t="s">
        <v>154</v>
      </c>
    </row>
    <row r="202" spans="1:9">
      <c r="A202">
        <v>10740</v>
      </c>
      <c r="B202" t="s">
        <v>177</v>
      </c>
      <c r="C202" s="67">
        <v>35747</v>
      </c>
      <c r="D202" s="67">
        <v>35775</v>
      </c>
      <c r="E202" s="67">
        <v>35759</v>
      </c>
      <c r="F202" t="s">
        <v>136</v>
      </c>
      <c r="G202">
        <v>81.88</v>
      </c>
      <c r="H202" t="s">
        <v>177</v>
      </c>
      <c r="I202" t="s">
        <v>145</v>
      </c>
    </row>
    <row r="203" spans="1:9">
      <c r="A203">
        <v>10743</v>
      </c>
      <c r="B203" t="s">
        <v>201</v>
      </c>
      <c r="C203" s="67">
        <v>35751</v>
      </c>
      <c r="D203" s="67">
        <v>35779</v>
      </c>
      <c r="E203" s="67">
        <v>35755</v>
      </c>
      <c r="F203" t="s">
        <v>136</v>
      </c>
      <c r="G203">
        <v>23.72</v>
      </c>
      <c r="H203" t="s">
        <v>201</v>
      </c>
      <c r="I203" t="s">
        <v>169</v>
      </c>
    </row>
    <row r="204" spans="1:9">
      <c r="A204">
        <v>10749</v>
      </c>
      <c r="B204" t="s">
        <v>168</v>
      </c>
      <c r="C204" s="67">
        <v>35754</v>
      </c>
      <c r="D204" s="67">
        <v>35782</v>
      </c>
      <c r="E204" s="67">
        <v>35783</v>
      </c>
      <c r="F204" t="s">
        <v>136</v>
      </c>
      <c r="G204">
        <v>61.53</v>
      </c>
      <c r="H204" t="s">
        <v>168</v>
      </c>
      <c r="I204" t="s">
        <v>169</v>
      </c>
    </row>
    <row r="205" spans="1:9">
      <c r="A205">
        <v>10755</v>
      </c>
      <c r="B205" t="s">
        <v>204</v>
      </c>
      <c r="C205" s="67">
        <v>35760</v>
      </c>
      <c r="D205" s="67">
        <v>35788</v>
      </c>
      <c r="E205" s="67">
        <v>35762</v>
      </c>
      <c r="F205" t="s">
        <v>136</v>
      </c>
      <c r="G205">
        <v>16.71</v>
      </c>
      <c r="H205" t="s">
        <v>204</v>
      </c>
      <c r="I205" t="s">
        <v>154</v>
      </c>
    </row>
    <row r="206" spans="1:9">
      <c r="A206">
        <v>10756</v>
      </c>
      <c r="B206" t="s">
        <v>144</v>
      </c>
      <c r="C206" s="67">
        <v>35761</v>
      </c>
      <c r="D206" s="67">
        <v>35789</v>
      </c>
      <c r="E206" s="67">
        <v>35766</v>
      </c>
      <c r="F206" t="s">
        <v>136</v>
      </c>
      <c r="G206">
        <v>73.21</v>
      </c>
      <c r="H206" t="s">
        <v>144</v>
      </c>
      <c r="I206" t="s">
        <v>145</v>
      </c>
    </row>
    <row r="207" spans="1:9">
      <c r="A207">
        <v>10761</v>
      </c>
      <c r="B207" t="s">
        <v>146</v>
      </c>
      <c r="C207" s="67">
        <v>35766</v>
      </c>
      <c r="D207" s="67">
        <v>35794</v>
      </c>
      <c r="E207" s="67">
        <v>35772</v>
      </c>
      <c r="F207" t="s">
        <v>136</v>
      </c>
      <c r="G207">
        <v>18.66</v>
      </c>
      <c r="H207" t="s">
        <v>146</v>
      </c>
      <c r="I207" t="s">
        <v>145</v>
      </c>
    </row>
    <row r="208" spans="1:9">
      <c r="A208">
        <v>10768</v>
      </c>
      <c r="B208" t="s">
        <v>201</v>
      </c>
      <c r="C208" s="67">
        <v>35772</v>
      </c>
      <c r="D208" s="67">
        <v>35800</v>
      </c>
      <c r="E208" s="67">
        <v>35779</v>
      </c>
      <c r="F208" t="s">
        <v>136</v>
      </c>
      <c r="G208">
        <v>146.32</v>
      </c>
      <c r="H208" t="s">
        <v>201</v>
      </c>
      <c r="I208" t="s">
        <v>169</v>
      </c>
    </row>
    <row r="209" spans="1:9">
      <c r="A209">
        <v>10771</v>
      </c>
      <c r="B209" t="s">
        <v>182</v>
      </c>
      <c r="C209" s="67">
        <v>35774</v>
      </c>
      <c r="D209" s="67">
        <v>35802</v>
      </c>
      <c r="E209" s="67">
        <v>35797</v>
      </c>
      <c r="F209" t="s">
        <v>136</v>
      </c>
      <c r="G209">
        <v>11.19</v>
      </c>
      <c r="H209" t="s">
        <v>182</v>
      </c>
      <c r="I209" t="s">
        <v>183</v>
      </c>
    </row>
    <row r="210" spans="1:9">
      <c r="A210">
        <v>10772</v>
      </c>
      <c r="B210" t="s">
        <v>149</v>
      </c>
      <c r="C210" s="67">
        <v>35774</v>
      </c>
      <c r="D210" s="67">
        <v>35802</v>
      </c>
      <c r="E210" s="67">
        <v>35783</v>
      </c>
      <c r="F210" t="s">
        <v>136</v>
      </c>
      <c r="G210">
        <v>91.28</v>
      </c>
      <c r="H210" t="s">
        <v>149</v>
      </c>
      <c r="I210" t="s">
        <v>150</v>
      </c>
    </row>
    <row r="211" spans="1:9">
      <c r="A211">
        <v>10777</v>
      </c>
      <c r="B211" t="s">
        <v>228</v>
      </c>
      <c r="C211" s="67">
        <v>35779</v>
      </c>
      <c r="D211" s="67">
        <v>35793</v>
      </c>
      <c r="E211" s="67">
        <v>35816</v>
      </c>
      <c r="F211" t="s">
        <v>136</v>
      </c>
      <c r="G211">
        <v>3.01</v>
      </c>
      <c r="H211" t="s">
        <v>228</v>
      </c>
      <c r="I211" t="s">
        <v>137</v>
      </c>
    </row>
    <row r="212" spans="1:9">
      <c r="A212">
        <v>10779</v>
      </c>
      <c r="B212" t="s">
        <v>231</v>
      </c>
      <c r="C212" s="67">
        <v>35780</v>
      </c>
      <c r="D212" s="67">
        <v>35808</v>
      </c>
      <c r="E212" s="67">
        <v>35809</v>
      </c>
      <c r="F212" t="s">
        <v>136</v>
      </c>
      <c r="G212">
        <v>58.13</v>
      </c>
      <c r="H212" t="s">
        <v>231</v>
      </c>
      <c r="I212" t="s">
        <v>150</v>
      </c>
    </row>
    <row r="213" spans="1:9">
      <c r="A213">
        <v>10783</v>
      </c>
      <c r="B213" t="s">
        <v>135</v>
      </c>
      <c r="C213" s="67">
        <v>35782</v>
      </c>
      <c r="D213" s="67">
        <v>35810</v>
      </c>
      <c r="E213" s="67">
        <v>35783</v>
      </c>
      <c r="F213" t="s">
        <v>136</v>
      </c>
      <c r="G213">
        <v>124.98</v>
      </c>
      <c r="H213" t="s">
        <v>135</v>
      </c>
      <c r="I213" t="s">
        <v>137</v>
      </c>
    </row>
    <row r="214" spans="1:9">
      <c r="A214">
        <v>10788</v>
      </c>
      <c r="B214" t="s">
        <v>151</v>
      </c>
      <c r="C214" s="67">
        <v>35786</v>
      </c>
      <c r="D214" s="67">
        <v>35814</v>
      </c>
      <c r="E214" s="67">
        <v>35814</v>
      </c>
      <c r="F214" t="s">
        <v>136</v>
      </c>
      <c r="G214">
        <v>42.7</v>
      </c>
      <c r="H214" t="s">
        <v>151</v>
      </c>
      <c r="I214" t="s">
        <v>150</v>
      </c>
    </row>
    <row r="215" spans="1:9">
      <c r="A215">
        <v>10789</v>
      </c>
      <c r="B215" t="s">
        <v>206</v>
      </c>
      <c r="C215" s="67">
        <v>35786</v>
      </c>
      <c r="D215" s="67">
        <v>35814</v>
      </c>
      <c r="E215" s="67">
        <v>35795</v>
      </c>
      <c r="F215" t="s">
        <v>136</v>
      </c>
      <c r="G215">
        <v>100.6</v>
      </c>
      <c r="H215" t="s">
        <v>206</v>
      </c>
      <c r="I215" t="s">
        <v>154</v>
      </c>
    </row>
    <row r="216" spans="1:9">
      <c r="A216">
        <v>10791</v>
      </c>
      <c r="B216" t="s">
        <v>176</v>
      </c>
      <c r="C216" s="67">
        <v>35787</v>
      </c>
      <c r="D216" s="67">
        <v>35815</v>
      </c>
      <c r="E216" s="67">
        <v>35796</v>
      </c>
      <c r="F216" t="s">
        <v>136</v>
      </c>
      <c r="G216">
        <v>16.85</v>
      </c>
      <c r="H216" t="s">
        <v>176</v>
      </c>
      <c r="I216" t="s">
        <v>150</v>
      </c>
    </row>
    <row r="217" spans="1:9">
      <c r="A217">
        <v>10795</v>
      </c>
      <c r="B217" t="s">
        <v>182</v>
      </c>
      <c r="C217" s="67">
        <v>35788</v>
      </c>
      <c r="D217" s="67">
        <v>35816</v>
      </c>
      <c r="E217" s="67">
        <v>35815</v>
      </c>
      <c r="F217" t="s">
        <v>136</v>
      </c>
      <c r="G217">
        <v>126.66</v>
      </c>
      <c r="H217" t="s">
        <v>182</v>
      </c>
      <c r="I217" t="s">
        <v>183</v>
      </c>
    </row>
    <row r="218" spans="1:9">
      <c r="A218">
        <v>10797</v>
      </c>
      <c r="B218" t="s">
        <v>232</v>
      </c>
      <c r="C218" s="67">
        <v>35789</v>
      </c>
      <c r="D218" s="67">
        <v>35817</v>
      </c>
      <c r="E218" s="67">
        <v>35800</v>
      </c>
      <c r="F218" t="s">
        <v>136</v>
      </c>
      <c r="G218">
        <v>33.35</v>
      </c>
      <c r="H218" t="s">
        <v>232</v>
      </c>
      <c r="I218" t="s">
        <v>150</v>
      </c>
    </row>
    <row r="219" spans="1:9">
      <c r="A219">
        <v>10801</v>
      </c>
      <c r="B219" t="s">
        <v>170</v>
      </c>
      <c r="C219" s="67">
        <v>35793</v>
      </c>
      <c r="D219" s="67">
        <v>35821</v>
      </c>
      <c r="E219" s="67">
        <v>35795</v>
      </c>
      <c r="F219" t="s">
        <v>136</v>
      </c>
      <c r="G219">
        <v>97.09</v>
      </c>
      <c r="H219" t="s">
        <v>170</v>
      </c>
      <c r="I219" t="s">
        <v>163</v>
      </c>
    </row>
    <row r="220" spans="1:9">
      <c r="A220">
        <v>10802</v>
      </c>
      <c r="B220" t="s">
        <v>233</v>
      </c>
      <c r="C220" s="67">
        <v>35793</v>
      </c>
      <c r="D220" s="67">
        <v>35821</v>
      </c>
      <c r="E220" s="67">
        <v>35797</v>
      </c>
      <c r="F220" t="s">
        <v>136</v>
      </c>
      <c r="G220">
        <v>257.26</v>
      </c>
      <c r="H220" t="s">
        <v>233</v>
      </c>
      <c r="I220" t="s">
        <v>222</v>
      </c>
    </row>
    <row r="221" spans="1:9">
      <c r="A221">
        <v>10804</v>
      </c>
      <c r="B221" t="s">
        <v>214</v>
      </c>
      <c r="C221" s="67">
        <v>35794</v>
      </c>
      <c r="D221" s="67">
        <v>35822</v>
      </c>
      <c r="E221" s="67">
        <v>35802</v>
      </c>
      <c r="F221" t="s">
        <v>136</v>
      </c>
      <c r="G221">
        <v>27.33</v>
      </c>
      <c r="H221" t="s">
        <v>214</v>
      </c>
      <c r="I221" t="s">
        <v>169</v>
      </c>
    </row>
    <row r="222" spans="1:9">
      <c r="A222">
        <v>10806</v>
      </c>
      <c r="B222" t="s">
        <v>173</v>
      </c>
      <c r="C222" s="67">
        <v>35795</v>
      </c>
      <c r="D222" s="67">
        <v>35823</v>
      </c>
      <c r="E222" s="67">
        <v>35800</v>
      </c>
      <c r="F222" t="s">
        <v>136</v>
      </c>
      <c r="G222">
        <v>22.11</v>
      </c>
      <c r="H222" t="s">
        <v>173</v>
      </c>
      <c r="I222" t="s">
        <v>154</v>
      </c>
    </row>
    <row r="223" spans="1:9">
      <c r="A223">
        <v>10816</v>
      </c>
      <c r="B223" t="s">
        <v>215</v>
      </c>
      <c r="C223" s="67">
        <v>35801</v>
      </c>
      <c r="D223" s="67">
        <v>35829</v>
      </c>
      <c r="E223" s="67">
        <v>35830</v>
      </c>
      <c r="F223" t="s">
        <v>136</v>
      </c>
      <c r="G223">
        <v>719.78</v>
      </c>
      <c r="H223" t="s">
        <v>215</v>
      </c>
      <c r="I223" t="s">
        <v>145</v>
      </c>
    </row>
    <row r="224" spans="1:9">
      <c r="A224">
        <v>10817</v>
      </c>
      <c r="B224" t="s">
        <v>202</v>
      </c>
      <c r="C224" s="67">
        <v>35801</v>
      </c>
      <c r="D224" s="67">
        <v>35815</v>
      </c>
      <c r="E224" s="67">
        <v>35808</v>
      </c>
      <c r="F224" t="s">
        <v>136</v>
      </c>
      <c r="G224">
        <v>306.07</v>
      </c>
      <c r="H224" t="s">
        <v>202</v>
      </c>
      <c r="I224" t="s">
        <v>150</v>
      </c>
    </row>
    <row r="225" spans="1:9">
      <c r="A225">
        <v>10820</v>
      </c>
      <c r="B225" t="s">
        <v>146</v>
      </c>
      <c r="C225" s="67">
        <v>35802</v>
      </c>
      <c r="D225" s="67">
        <v>35830</v>
      </c>
      <c r="E225" s="67">
        <v>35808</v>
      </c>
      <c r="F225" t="s">
        <v>136</v>
      </c>
      <c r="G225">
        <v>37.52</v>
      </c>
      <c r="H225" t="s">
        <v>146</v>
      </c>
      <c r="I225" t="s">
        <v>145</v>
      </c>
    </row>
    <row r="226" spans="1:9">
      <c r="A226">
        <v>10823</v>
      </c>
      <c r="B226" t="s">
        <v>211</v>
      </c>
      <c r="C226" s="67">
        <v>35804</v>
      </c>
      <c r="D226" s="67">
        <v>35832</v>
      </c>
      <c r="E226" s="67">
        <v>35808</v>
      </c>
      <c r="F226" t="s">
        <v>136</v>
      </c>
      <c r="G226">
        <v>163.97</v>
      </c>
      <c r="H226" t="s">
        <v>211</v>
      </c>
      <c r="I226" t="s">
        <v>208</v>
      </c>
    </row>
    <row r="227" spans="1:9">
      <c r="A227">
        <v>10827</v>
      </c>
      <c r="B227" t="s">
        <v>204</v>
      </c>
      <c r="C227" s="67">
        <v>35807</v>
      </c>
      <c r="D227" s="67">
        <v>35821</v>
      </c>
      <c r="E227" s="67">
        <v>35832</v>
      </c>
      <c r="F227" t="s">
        <v>136</v>
      </c>
      <c r="G227">
        <v>63.54</v>
      </c>
      <c r="H227" t="s">
        <v>204</v>
      </c>
      <c r="I227" t="s">
        <v>154</v>
      </c>
    </row>
    <row r="228" spans="1:9">
      <c r="A228">
        <v>10830</v>
      </c>
      <c r="B228" t="s">
        <v>152</v>
      </c>
      <c r="C228" s="67">
        <v>35808</v>
      </c>
      <c r="D228" s="67">
        <v>35850</v>
      </c>
      <c r="E228" s="67">
        <v>35816</v>
      </c>
      <c r="F228" t="s">
        <v>136</v>
      </c>
      <c r="G228">
        <v>81.83</v>
      </c>
      <c r="H228" t="s">
        <v>152</v>
      </c>
      <c r="I228" t="s">
        <v>137</v>
      </c>
    </row>
    <row r="229" spans="1:9">
      <c r="A229">
        <v>10831</v>
      </c>
      <c r="B229" t="s">
        <v>186</v>
      </c>
      <c r="C229" s="67">
        <v>35809</v>
      </c>
      <c r="D229" s="67">
        <v>35837</v>
      </c>
      <c r="E229" s="67">
        <v>35818</v>
      </c>
      <c r="F229" t="s">
        <v>136</v>
      </c>
      <c r="G229">
        <v>72.19</v>
      </c>
      <c r="H229" t="s">
        <v>186</v>
      </c>
      <c r="I229" t="s">
        <v>187</v>
      </c>
    </row>
    <row r="230" spans="1:9">
      <c r="A230">
        <v>10832</v>
      </c>
      <c r="B230" t="s">
        <v>178</v>
      </c>
      <c r="C230" s="67">
        <v>35809</v>
      </c>
      <c r="D230" s="67">
        <v>35837</v>
      </c>
      <c r="E230" s="67">
        <v>35814</v>
      </c>
      <c r="F230" t="s">
        <v>136</v>
      </c>
      <c r="G230">
        <v>43.26</v>
      </c>
      <c r="H230" t="s">
        <v>178</v>
      </c>
      <c r="I230" t="s">
        <v>154</v>
      </c>
    </row>
    <row r="231" spans="1:9">
      <c r="A231">
        <v>10833</v>
      </c>
      <c r="B231" t="s">
        <v>189</v>
      </c>
      <c r="C231" s="67">
        <v>35810</v>
      </c>
      <c r="D231" s="67">
        <v>35838</v>
      </c>
      <c r="E231" s="67">
        <v>35818</v>
      </c>
      <c r="F231" t="s">
        <v>136</v>
      </c>
      <c r="G231">
        <v>71.49</v>
      </c>
      <c r="H231" t="s">
        <v>189</v>
      </c>
      <c r="I231" t="s">
        <v>150</v>
      </c>
    </row>
    <row r="232" spans="1:9">
      <c r="A232">
        <v>10840</v>
      </c>
      <c r="B232" t="s">
        <v>207</v>
      </c>
      <c r="C232" s="67">
        <v>35814</v>
      </c>
      <c r="D232" s="67">
        <v>35856</v>
      </c>
      <c r="E232" s="67">
        <v>35842</v>
      </c>
      <c r="F232" t="s">
        <v>136</v>
      </c>
      <c r="G232">
        <v>2.71</v>
      </c>
      <c r="H232" t="s">
        <v>207</v>
      </c>
      <c r="I232" t="s">
        <v>208</v>
      </c>
    </row>
    <row r="233" spans="1:9">
      <c r="A233">
        <v>10841</v>
      </c>
      <c r="B233" t="s">
        <v>138</v>
      </c>
      <c r="C233" s="67">
        <v>35815</v>
      </c>
      <c r="D233" s="67">
        <v>35843</v>
      </c>
      <c r="E233" s="67">
        <v>35824</v>
      </c>
      <c r="F233" t="s">
        <v>136</v>
      </c>
      <c r="G233">
        <v>424.3</v>
      </c>
      <c r="H233" t="s">
        <v>138</v>
      </c>
      <c r="I233" t="s">
        <v>139</v>
      </c>
    </row>
    <row r="234" spans="1:9">
      <c r="A234">
        <v>10843</v>
      </c>
      <c r="B234" t="s">
        <v>173</v>
      </c>
      <c r="C234" s="67">
        <v>35816</v>
      </c>
      <c r="D234" s="67">
        <v>35844</v>
      </c>
      <c r="E234" s="67">
        <v>35821</v>
      </c>
      <c r="F234" t="s">
        <v>136</v>
      </c>
      <c r="G234">
        <v>9.26</v>
      </c>
      <c r="H234" t="s">
        <v>173</v>
      </c>
      <c r="I234" t="s">
        <v>154</v>
      </c>
    </row>
    <row r="235" spans="1:9">
      <c r="A235">
        <v>10844</v>
      </c>
      <c r="B235" t="s">
        <v>193</v>
      </c>
      <c r="C235" s="67">
        <v>35816</v>
      </c>
      <c r="D235" s="67">
        <v>35844</v>
      </c>
      <c r="E235" s="67">
        <v>35821</v>
      </c>
      <c r="F235" t="s">
        <v>136</v>
      </c>
      <c r="G235">
        <v>25.22</v>
      </c>
      <c r="H235" t="s">
        <v>193</v>
      </c>
      <c r="I235" t="s">
        <v>183</v>
      </c>
    </row>
    <row r="236" spans="1:9">
      <c r="A236">
        <v>10848</v>
      </c>
      <c r="B236" t="s">
        <v>195</v>
      </c>
      <c r="C236" s="67">
        <v>35818</v>
      </c>
      <c r="D236" s="67">
        <v>35846</v>
      </c>
      <c r="E236" s="67">
        <v>35824</v>
      </c>
      <c r="F236" t="s">
        <v>136</v>
      </c>
      <c r="G236">
        <v>38.24</v>
      </c>
      <c r="H236" t="s">
        <v>195</v>
      </c>
      <c r="I236" t="s">
        <v>169</v>
      </c>
    </row>
    <row r="237" spans="1:9">
      <c r="A237">
        <v>10849</v>
      </c>
      <c r="B237" t="s">
        <v>202</v>
      </c>
      <c r="C237" s="67">
        <v>35818</v>
      </c>
      <c r="D237" s="67">
        <v>35846</v>
      </c>
      <c r="E237" s="67">
        <v>35825</v>
      </c>
      <c r="F237" t="s">
        <v>136</v>
      </c>
      <c r="G237">
        <v>0.56</v>
      </c>
      <c r="H237" t="s">
        <v>202</v>
      </c>
      <c r="I237" t="s">
        <v>150</v>
      </c>
    </row>
    <row r="238" spans="1:9">
      <c r="A238">
        <v>10853</v>
      </c>
      <c r="B238" t="s">
        <v>220</v>
      </c>
      <c r="C238" s="67">
        <v>35822</v>
      </c>
      <c r="D238" s="67">
        <v>35850</v>
      </c>
      <c r="E238" s="67">
        <v>35829</v>
      </c>
      <c r="F238" t="s">
        <v>136</v>
      </c>
      <c r="G238">
        <v>53.83</v>
      </c>
      <c r="H238" t="s">
        <v>220</v>
      </c>
      <c r="I238" t="s">
        <v>150</v>
      </c>
    </row>
    <row r="239" spans="1:9">
      <c r="A239">
        <v>10854</v>
      </c>
      <c r="B239" t="s">
        <v>182</v>
      </c>
      <c r="C239" s="67">
        <v>35822</v>
      </c>
      <c r="D239" s="67">
        <v>35850</v>
      </c>
      <c r="E239" s="67">
        <v>35831</v>
      </c>
      <c r="F239" t="s">
        <v>136</v>
      </c>
      <c r="G239">
        <v>100.22</v>
      </c>
      <c r="H239" t="s">
        <v>182</v>
      </c>
      <c r="I239" t="s">
        <v>183</v>
      </c>
    </row>
    <row r="240" spans="1:9">
      <c r="A240">
        <v>10856</v>
      </c>
      <c r="B240" t="s">
        <v>179</v>
      </c>
      <c r="C240" s="67">
        <v>35823</v>
      </c>
      <c r="D240" s="67">
        <v>35851</v>
      </c>
      <c r="E240" s="67">
        <v>35836</v>
      </c>
      <c r="F240" t="s">
        <v>136</v>
      </c>
      <c r="G240">
        <v>58.43</v>
      </c>
      <c r="H240" t="s">
        <v>179</v>
      </c>
      <c r="I240" t="s">
        <v>165</v>
      </c>
    </row>
    <row r="241" spans="1:9">
      <c r="A241">
        <v>10857</v>
      </c>
      <c r="B241" t="s">
        <v>147</v>
      </c>
      <c r="C241" s="67">
        <v>35823</v>
      </c>
      <c r="D241" s="67">
        <v>35851</v>
      </c>
      <c r="E241" s="67">
        <v>35832</v>
      </c>
      <c r="F241" t="s">
        <v>136</v>
      </c>
      <c r="G241">
        <v>188.85</v>
      </c>
      <c r="H241" t="s">
        <v>147</v>
      </c>
      <c r="I241" t="s">
        <v>148</v>
      </c>
    </row>
    <row r="242" spans="1:9">
      <c r="A242">
        <v>10859</v>
      </c>
      <c r="B242" t="s">
        <v>176</v>
      </c>
      <c r="C242" s="67">
        <v>35824</v>
      </c>
      <c r="D242" s="67">
        <v>35852</v>
      </c>
      <c r="E242" s="67">
        <v>35828</v>
      </c>
      <c r="F242" t="s">
        <v>136</v>
      </c>
      <c r="G242">
        <v>76.1</v>
      </c>
      <c r="H242" t="s">
        <v>176</v>
      </c>
      <c r="I242" t="s">
        <v>150</v>
      </c>
    </row>
    <row r="243" spans="1:9">
      <c r="A243">
        <v>10861</v>
      </c>
      <c r="B243" t="s">
        <v>177</v>
      </c>
      <c r="C243" s="67">
        <v>35825</v>
      </c>
      <c r="D243" s="67">
        <v>35853</v>
      </c>
      <c r="E243" s="67">
        <v>35843</v>
      </c>
      <c r="F243" t="s">
        <v>136</v>
      </c>
      <c r="G243">
        <v>14.93</v>
      </c>
      <c r="H243" t="s">
        <v>177</v>
      </c>
      <c r="I243" t="s">
        <v>145</v>
      </c>
    </row>
    <row r="244" spans="1:9">
      <c r="A244">
        <v>10862</v>
      </c>
      <c r="B244" t="s">
        <v>149</v>
      </c>
      <c r="C244" s="67">
        <v>35825</v>
      </c>
      <c r="D244" s="67">
        <v>35867</v>
      </c>
      <c r="E244" s="67">
        <v>35828</v>
      </c>
      <c r="F244" t="s">
        <v>136</v>
      </c>
      <c r="G244">
        <v>53.23</v>
      </c>
      <c r="H244" t="s">
        <v>149</v>
      </c>
      <c r="I244" t="s">
        <v>150</v>
      </c>
    </row>
    <row r="245" spans="1:9">
      <c r="A245">
        <v>10863</v>
      </c>
      <c r="B245" t="s">
        <v>209</v>
      </c>
      <c r="C245" s="67">
        <v>35828</v>
      </c>
      <c r="D245" s="67">
        <v>35856</v>
      </c>
      <c r="E245" s="67">
        <v>35843</v>
      </c>
      <c r="F245" t="s">
        <v>136</v>
      </c>
      <c r="G245">
        <v>30.26</v>
      </c>
      <c r="H245" t="s">
        <v>209</v>
      </c>
      <c r="I245" t="s">
        <v>208</v>
      </c>
    </row>
    <row r="246" spans="1:9">
      <c r="A246">
        <v>10864</v>
      </c>
      <c r="B246" t="s">
        <v>201</v>
      </c>
      <c r="C246" s="67">
        <v>35828</v>
      </c>
      <c r="D246" s="67">
        <v>35856</v>
      </c>
      <c r="E246" s="67">
        <v>35835</v>
      </c>
      <c r="F246" t="s">
        <v>136</v>
      </c>
      <c r="G246">
        <v>3.04</v>
      </c>
      <c r="H246" t="s">
        <v>201</v>
      </c>
      <c r="I246" t="s">
        <v>169</v>
      </c>
    </row>
    <row r="247" spans="1:9">
      <c r="A247">
        <v>10868</v>
      </c>
      <c r="B247" t="s">
        <v>184</v>
      </c>
      <c r="C247" s="67">
        <v>35830</v>
      </c>
      <c r="D247" s="67">
        <v>35858</v>
      </c>
      <c r="E247" s="67">
        <v>35849</v>
      </c>
      <c r="F247" t="s">
        <v>136</v>
      </c>
      <c r="G247">
        <v>191.27</v>
      </c>
      <c r="H247" t="s">
        <v>184</v>
      </c>
      <c r="I247" t="s">
        <v>137</v>
      </c>
    </row>
    <row r="248" spans="1:9">
      <c r="A248">
        <v>10871</v>
      </c>
      <c r="B248" t="s">
        <v>204</v>
      </c>
      <c r="C248" s="67">
        <v>35831</v>
      </c>
      <c r="D248" s="67">
        <v>35859</v>
      </c>
      <c r="E248" s="67">
        <v>35836</v>
      </c>
      <c r="F248" t="s">
        <v>136</v>
      </c>
      <c r="G248">
        <v>112.27</v>
      </c>
      <c r="H248" t="s">
        <v>204</v>
      </c>
      <c r="I248" t="s">
        <v>154</v>
      </c>
    </row>
    <row r="249" spans="1:9">
      <c r="A249">
        <v>10872</v>
      </c>
      <c r="B249" t="s">
        <v>162</v>
      </c>
      <c r="C249" s="67">
        <v>35831</v>
      </c>
      <c r="D249" s="67">
        <v>35859</v>
      </c>
      <c r="E249" s="67">
        <v>35835</v>
      </c>
      <c r="F249" t="s">
        <v>136</v>
      </c>
      <c r="G249">
        <v>175.32</v>
      </c>
      <c r="H249" t="s">
        <v>162</v>
      </c>
      <c r="I249" t="s">
        <v>163</v>
      </c>
    </row>
    <row r="250" spans="1:9">
      <c r="A250">
        <v>10874</v>
      </c>
      <c r="B250" t="s">
        <v>162</v>
      </c>
      <c r="C250" s="67">
        <v>35832</v>
      </c>
      <c r="D250" s="67">
        <v>35860</v>
      </c>
      <c r="E250" s="67">
        <v>35837</v>
      </c>
      <c r="F250" t="s">
        <v>136</v>
      </c>
      <c r="G250">
        <v>19.58</v>
      </c>
      <c r="H250" t="s">
        <v>162</v>
      </c>
      <c r="I250" t="s">
        <v>163</v>
      </c>
    </row>
    <row r="251" spans="1:9">
      <c r="A251">
        <v>10875</v>
      </c>
      <c r="B251" t="s">
        <v>147</v>
      </c>
      <c r="C251" s="67">
        <v>35832</v>
      </c>
      <c r="D251" s="67">
        <v>35860</v>
      </c>
      <c r="E251" s="67">
        <v>35857</v>
      </c>
      <c r="F251" t="s">
        <v>136</v>
      </c>
      <c r="G251">
        <v>32.37</v>
      </c>
      <c r="H251" t="s">
        <v>147</v>
      </c>
      <c r="I251" t="s">
        <v>148</v>
      </c>
    </row>
    <row r="252" spans="1:9">
      <c r="A252">
        <v>10884</v>
      </c>
      <c r="B252" t="s">
        <v>219</v>
      </c>
      <c r="C252" s="67">
        <v>35838</v>
      </c>
      <c r="D252" s="67">
        <v>35866</v>
      </c>
      <c r="E252" s="67">
        <v>35839</v>
      </c>
      <c r="F252" t="s">
        <v>136</v>
      </c>
      <c r="G252">
        <v>90.97</v>
      </c>
      <c r="H252" t="s">
        <v>219</v>
      </c>
      <c r="I252" t="s">
        <v>145</v>
      </c>
    </row>
    <row r="253" spans="1:9">
      <c r="A253">
        <v>10888</v>
      </c>
      <c r="B253" t="s">
        <v>162</v>
      </c>
      <c r="C253" s="67">
        <v>35842</v>
      </c>
      <c r="D253" s="67">
        <v>35870</v>
      </c>
      <c r="E253" s="67">
        <v>35849</v>
      </c>
      <c r="F253" t="s">
        <v>136</v>
      </c>
      <c r="G253">
        <v>51.87</v>
      </c>
      <c r="H253" t="s">
        <v>162</v>
      </c>
      <c r="I253" t="s">
        <v>163</v>
      </c>
    </row>
    <row r="254" spans="1:9">
      <c r="A254">
        <v>10891</v>
      </c>
      <c r="B254" t="s">
        <v>149</v>
      </c>
      <c r="C254" s="67">
        <v>35843</v>
      </c>
      <c r="D254" s="67">
        <v>35871</v>
      </c>
      <c r="E254" s="67">
        <v>35845</v>
      </c>
      <c r="F254" t="s">
        <v>136</v>
      </c>
      <c r="G254">
        <v>20.37</v>
      </c>
      <c r="H254" t="s">
        <v>149</v>
      </c>
      <c r="I254" t="s">
        <v>150</v>
      </c>
    </row>
    <row r="255" spans="1:9">
      <c r="A255">
        <v>10892</v>
      </c>
      <c r="B255" t="s">
        <v>216</v>
      </c>
      <c r="C255" s="67">
        <v>35843</v>
      </c>
      <c r="D255" s="67">
        <v>35871</v>
      </c>
      <c r="E255" s="67">
        <v>35845</v>
      </c>
      <c r="F255" t="s">
        <v>136</v>
      </c>
      <c r="G255">
        <v>120.27</v>
      </c>
      <c r="H255" t="s">
        <v>216</v>
      </c>
      <c r="I255" t="s">
        <v>139</v>
      </c>
    </row>
    <row r="256" spans="1:9">
      <c r="A256">
        <v>10893</v>
      </c>
      <c r="B256" t="s">
        <v>202</v>
      </c>
      <c r="C256" s="67">
        <v>35844</v>
      </c>
      <c r="D256" s="67">
        <v>35872</v>
      </c>
      <c r="E256" s="67">
        <v>35846</v>
      </c>
      <c r="F256" t="s">
        <v>136</v>
      </c>
      <c r="G256">
        <v>77.78</v>
      </c>
      <c r="H256" t="s">
        <v>202</v>
      </c>
      <c r="I256" t="s">
        <v>150</v>
      </c>
    </row>
    <row r="257" spans="1:9">
      <c r="A257">
        <v>10897</v>
      </c>
      <c r="B257" t="s">
        <v>156</v>
      </c>
      <c r="C257" s="67">
        <v>35845</v>
      </c>
      <c r="D257" s="67">
        <v>35873</v>
      </c>
      <c r="E257" s="67">
        <v>35851</v>
      </c>
      <c r="F257" t="s">
        <v>136</v>
      </c>
      <c r="G257">
        <v>603.54</v>
      </c>
      <c r="H257" t="s">
        <v>156</v>
      </c>
      <c r="I257" t="s">
        <v>157</v>
      </c>
    </row>
    <row r="258" spans="1:9">
      <c r="A258">
        <v>10898</v>
      </c>
      <c r="B258" t="s">
        <v>234</v>
      </c>
      <c r="C258" s="67">
        <v>35846</v>
      </c>
      <c r="D258" s="67">
        <v>35874</v>
      </c>
      <c r="E258" s="67">
        <v>35860</v>
      </c>
      <c r="F258" t="s">
        <v>136</v>
      </c>
      <c r="G258">
        <v>1.27</v>
      </c>
      <c r="H258" t="s">
        <v>234</v>
      </c>
      <c r="I258" t="s">
        <v>200</v>
      </c>
    </row>
    <row r="259" spans="1:9">
      <c r="A259">
        <v>10900</v>
      </c>
      <c r="B259" t="s">
        <v>142</v>
      </c>
      <c r="C259" s="67">
        <v>35846</v>
      </c>
      <c r="D259" s="67">
        <v>35874</v>
      </c>
      <c r="E259" s="67">
        <v>35858</v>
      </c>
      <c r="F259" t="s">
        <v>136</v>
      </c>
      <c r="G259">
        <v>1.66</v>
      </c>
      <c r="H259" t="s">
        <v>142</v>
      </c>
      <c r="I259" t="s">
        <v>137</v>
      </c>
    </row>
    <row r="260" spans="1:9">
      <c r="A260">
        <v>10905</v>
      </c>
      <c r="B260" t="s">
        <v>142</v>
      </c>
      <c r="C260" s="67">
        <v>35850</v>
      </c>
      <c r="D260" s="67">
        <v>35878</v>
      </c>
      <c r="E260" s="67">
        <v>35860</v>
      </c>
      <c r="F260" t="s">
        <v>136</v>
      </c>
      <c r="G260">
        <v>13.72</v>
      </c>
      <c r="H260" t="s">
        <v>142</v>
      </c>
      <c r="I260" t="s">
        <v>137</v>
      </c>
    </row>
    <row r="261" spans="1:9">
      <c r="A261">
        <v>10908</v>
      </c>
      <c r="B261" t="s">
        <v>229</v>
      </c>
      <c r="C261" s="67">
        <v>35852</v>
      </c>
      <c r="D261" s="67">
        <v>35880</v>
      </c>
      <c r="E261" s="67">
        <v>35860</v>
      </c>
      <c r="F261" t="s">
        <v>136</v>
      </c>
      <c r="G261">
        <v>32.96</v>
      </c>
      <c r="H261" t="s">
        <v>229</v>
      </c>
      <c r="I261" t="s">
        <v>160</v>
      </c>
    </row>
    <row r="262" spans="1:9">
      <c r="A262">
        <v>10909</v>
      </c>
      <c r="B262" t="s">
        <v>186</v>
      </c>
      <c r="C262" s="67">
        <v>35852</v>
      </c>
      <c r="D262" s="67">
        <v>35880</v>
      </c>
      <c r="E262" s="67">
        <v>35864</v>
      </c>
      <c r="F262" t="s">
        <v>136</v>
      </c>
      <c r="G262">
        <v>53.05</v>
      </c>
      <c r="H262" t="s">
        <v>186</v>
      </c>
      <c r="I262" t="s">
        <v>187</v>
      </c>
    </row>
    <row r="263" spans="1:9">
      <c r="A263">
        <v>10912</v>
      </c>
      <c r="B263" t="s">
        <v>156</v>
      </c>
      <c r="C263" s="67">
        <v>35852</v>
      </c>
      <c r="D263" s="67">
        <v>35880</v>
      </c>
      <c r="E263" s="67">
        <v>35872</v>
      </c>
      <c r="F263" t="s">
        <v>136</v>
      </c>
      <c r="G263">
        <v>580.91</v>
      </c>
      <c r="H263" t="s">
        <v>156</v>
      </c>
      <c r="I263" t="s">
        <v>157</v>
      </c>
    </row>
    <row r="264" spans="1:9">
      <c r="A264">
        <v>10915</v>
      </c>
      <c r="B264" t="s">
        <v>164</v>
      </c>
      <c r="C264" s="67">
        <v>35853</v>
      </c>
      <c r="D264" s="67">
        <v>35881</v>
      </c>
      <c r="E264" s="67">
        <v>35856</v>
      </c>
      <c r="F264" t="s">
        <v>136</v>
      </c>
      <c r="G264">
        <v>3.51</v>
      </c>
      <c r="H264" t="s">
        <v>164</v>
      </c>
      <c r="I264" t="s">
        <v>165</v>
      </c>
    </row>
    <row r="265" spans="1:9">
      <c r="A265">
        <v>10916</v>
      </c>
      <c r="B265" t="s">
        <v>199</v>
      </c>
      <c r="C265" s="67">
        <v>35853</v>
      </c>
      <c r="D265" s="67">
        <v>35881</v>
      </c>
      <c r="E265" s="67">
        <v>35863</v>
      </c>
      <c r="F265" t="s">
        <v>136</v>
      </c>
      <c r="G265">
        <v>63.77</v>
      </c>
      <c r="H265" t="s">
        <v>199</v>
      </c>
      <c r="I265" t="s">
        <v>200</v>
      </c>
    </row>
    <row r="266" spans="1:9">
      <c r="A266">
        <v>10917</v>
      </c>
      <c r="B266" t="s">
        <v>235</v>
      </c>
      <c r="C266" s="67">
        <v>35856</v>
      </c>
      <c r="D266" s="67">
        <v>35884</v>
      </c>
      <c r="E266" s="67">
        <v>35865</v>
      </c>
      <c r="F266" t="s">
        <v>136</v>
      </c>
      <c r="G266">
        <v>8.29</v>
      </c>
      <c r="H266" t="s">
        <v>235</v>
      </c>
      <c r="I266" t="s">
        <v>163</v>
      </c>
    </row>
    <row r="267" spans="1:9">
      <c r="A267">
        <v>10919</v>
      </c>
      <c r="B267" t="s">
        <v>207</v>
      </c>
      <c r="C267" s="67">
        <v>35856</v>
      </c>
      <c r="D267" s="67">
        <v>35884</v>
      </c>
      <c r="E267" s="67">
        <v>35858</v>
      </c>
      <c r="F267" t="s">
        <v>136</v>
      </c>
      <c r="G267">
        <v>19.8</v>
      </c>
      <c r="H267" t="s">
        <v>207</v>
      </c>
      <c r="I267" t="s">
        <v>208</v>
      </c>
    </row>
    <row r="268" spans="1:9">
      <c r="A268">
        <v>10920</v>
      </c>
      <c r="B268" t="s">
        <v>201</v>
      </c>
      <c r="C268" s="67">
        <v>35857</v>
      </c>
      <c r="D268" s="67">
        <v>35885</v>
      </c>
      <c r="E268" s="67">
        <v>35863</v>
      </c>
      <c r="F268" t="s">
        <v>136</v>
      </c>
      <c r="G268">
        <v>29.61</v>
      </c>
      <c r="H268" t="s">
        <v>201</v>
      </c>
      <c r="I268" t="s">
        <v>169</v>
      </c>
    </row>
    <row r="269" spans="1:9">
      <c r="A269">
        <v>10924</v>
      </c>
      <c r="B269" t="s">
        <v>147</v>
      </c>
      <c r="C269" s="67">
        <v>35858</v>
      </c>
      <c r="D269" s="67">
        <v>35886</v>
      </c>
      <c r="E269" s="67">
        <v>35893</v>
      </c>
      <c r="F269" t="s">
        <v>136</v>
      </c>
      <c r="G269">
        <v>151.52</v>
      </c>
      <c r="H269" t="s">
        <v>147</v>
      </c>
      <c r="I269" t="s">
        <v>148</v>
      </c>
    </row>
    <row r="270" spans="1:9">
      <c r="A270">
        <v>10931</v>
      </c>
      <c r="B270" t="s">
        <v>192</v>
      </c>
      <c r="C270" s="67">
        <v>35860</v>
      </c>
      <c r="D270" s="67">
        <v>35874</v>
      </c>
      <c r="E270" s="67">
        <v>35873</v>
      </c>
      <c r="F270" t="s">
        <v>136</v>
      </c>
      <c r="G270">
        <v>13.6</v>
      </c>
      <c r="H270" t="s">
        <v>192</v>
      </c>
      <c r="I270" t="s">
        <v>141</v>
      </c>
    </row>
    <row r="271" spans="1:9">
      <c r="A271">
        <v>10936</v>
      </c>
      <c r="B271" t="s">
        <v>215</v>
      </c>
      <c r="C271" s="67">
        <v>35863</v>
      </c>
      <c r="D271" s="67">
        <v>35891</v>
      </c>
      <c r="E271" s="67">
        <v>35872</v>
      </c>
      <c r="F271" t="s">
        <v>136</v>
      </c>
      <c r="G271">
        <v>33.68</v>
      </c>
      <c r="H271" t="s">
        <v>215</v>
      </c>
      <c r="I271" t="s">
        <v>145</v>
      </c>
    </row>
    <row r="272" spans="1:9">
      <c r="A272">
        <v>10938</v>
      </c>
      <c r="B272" t="s">
        <v>151</v>
      </c>
      <c r="C272" s="67">
        <v>35864</v>
      </c>
      <c r="D272" s="67">
        <v>35892</v>
      </c>
      <c r="E272" s="67">
        <v>35870</v>
      </c>
      <c r="F272" t="s">
        <v>136</v>
      </c>
      <c r="G272">
        <v>31.89</v>
      </c>
      <c r="H272" t="s">
        <v>151</v>
      </c>
      <c r="I272" t="s">
        <v>150</v>
      </c>
    </row>
    <row r="273" spans="1:9">
      <c r="A273">
        <v>10939</v>
      </c>
      <c r="B273" t="s">
        <v>159</v>
      </c>
      <c r="C273" s="67">
        <v>35864</v>
      </c>
      <c r="D273" s="67">
        <v>35892</v>
      </c>
      <c r="E273" s="67">
        <v>35867</v>
      </c>
      <c r="F273" t="s">
        <v>136</v>
      </c>
      <c r="G273">
        <v>76.33</v>
      </c>
      <c r="H273" t="s">
        <v>159</v>
      </c>
      <c r="I273" t="s">
        <v>160</v>
      </c>
    </row>
    <row r="274" spans="1:9">
      <c r="A274">
        <v>10941</v>
      </c>
      <c r="B274" t="s">
        <v>197</v>
      </c>
      <c r="C274" s="67">
        <v>35865</v>
      </c>
      <c r="D274" s="67">
        <v>35893</v>
      </c>
      <c r="E274" s="67">
        <v>35874</v>
      </c>
      <c r="F274" t="s">
        <v>136</v>
      </c>
      <c r="G274">
        <v>400.81</v>
      </c>
      <c r="H274" t="s">
        <v>197</v>
      </c>
      <c r="I274" t="s">
        <v>145</v>
      </c>
    </row>
    <row r="275" spans="1:9">
      <c r="A275">
        <v>10943</v>
      </c>
      <c r="B275" t="s">
        <v>236</v>
      </c>
      <c r="C275" s="67">
        <v>35865</v>
      </c>
      <c r="D275" s="67">
        <v>35893</v>
      </c>
      <c r="E275" s="67">
        <v>35873</v>
      </c>
      <c r="F275" t="s">
        <v>136</v>
      </c>
      <c r="G275">
        <v>2.17</v>
      </c>
      <c r="H275" t="s">
        <v>236</v>
      </c>
      <c r="I275" t="s">
        <v>169</v>
      </c>
    </row>
    <row r="276" spans="1:9">
      <c r="A276">
        <v>10946</v>
      </c>
      <c r="B276" t="s">
        <v>221</v>
      </c>
      <c r="C276" s="67">
        <v>35866</v>
      </c>
      <c r="D276" s="67">
        <v>35894</v>
      </c>
      <c r="E276" s="67">
        <v>35873</v>
      </c>
      <c r="F276" t="s">
        <v>136</v>
      </c>
      <c r="G276">
        <v>27.2</v>
      </c>
      <c r="H276" t="s">
        <v>221</v>
      </c>
      <c r="I276" t="s">
        <v>222</v>
      </c>
    </row>
    <row r="277" spans="1:9">
      <c r="A277">
        <v>10947</v>
      </c>
      <c r="B277" t="s">
        <v>236</v>
      </c>
      <c r="C277" s="67">
        <v>35867</v>
      </c>
      <c r="D277" s="67">
        <v>35895</v>
      </c>
      <c r="E277" s="67">
        <v>35870</v>
      </c>
      <c r="F277" t="s">
        <v>136</v>
      </c>
      <c r="G277">
        <v>3.26</v>
      </c>
      <c r="H277" t="s">
        <v>236</v>
      </c>
      <c r="I277" t="s">
        <v>169</v>
      </c>
    </row>
    <row r="278" spans="1:9">
      <c r="A278">
        <v>10950</v>
      </c>
      <c r="B278" t="s">
        <v>159</v>
      </c>
      <c r="C278" s="67">
        <v>35870</v>
      </c>
      <c r="D278" s="67">
        <v>35898</v>
      </c>
      <c r="E278" s="67">
        <v>35877</v>
      </c>
      <c r="F278" t="s">
        <v>136</v>
      </c>
      <c r="G278">
        <v>2.5</v>
      </c>
      <c r="H278" t="s">
        <v>159</v>
      </c>
      <c r="I278" t="s">
        <v>160</v>
      </c>
    </row>
    <row r="279" spans="1:9">
      <c r="A279">
        <v>10951</v>
      </c>
      <c r="B279" t="s">
        <v>192</v>
      </c>
      <c r="C279" s="67">
        <v>35870</v>
      </c>
      <c r="D279" s="67">
        <v>35912</v>
      </c>
      <c r="E279" s="67">
        <v>35892</v>
      </c>
      <c r="F279" t="s">
        <v>136</v>
      </c>
      <c r="G279">
        <v>30.85</v>
      </c>
      <c r="H279" t="s">
        <v>192</v>
      </c>
      <c r="I279" t="s">
        <v>141</v>
      </c>
    </row>
    <row r="280" spans="1:9">
      <c r="A280">
        <v>10953</v>
      </c>
      <c r="B280" t="s">
        <v>201</v>
      </c>
      <c r="C280" s="67">
        <v>35870</v>
      </c>
      <c r="D280" s="67">
        <v>35884</v>
      </c>
      <c r="E280" s="67">
        <v>35879</v>
      </c>
      <c r="F280" t="s">
        <v>136</v>
      </c>
      <c r="G280">
        <v>23.72</v>
      </c>
      <c r="H280" t="s">
        <v>201</v>
      </c>
      <c r="I280" t="s">
        <v>169</v>
      </c>
    </row>
    <row r="281" spans="1:9">
      <c r="A281">
        <v>10955</v>
      </c>
      <c r="B281" t="s">
        <v>194</v>
      </c>
      <c r="C281" s="67">
        <v>35871</v>
      </c>
      <c r="D281" s="67">
        <v>35899</v>
      </c>
      <c r="E281" s="67">
        <v>35874</v>
      </c>
      <c r="F281" t="s">
        <v>136</v>
      </c>
      <c r="G281">
        <v>3.26</v>
      </c>
      <c r="H281" t="s">
        <v>194</v>
      </c>
      <c r="I281" t="s">
        <v>148</v>
      </c>
    </row>
    <row r="282" spans="1:9">
      <c r="A282">
        <v>10956</v>
      </c>
      <c r="B282" t="s">
        <v>220</v>
      </c>
      <c r="C282" s="67">
        <v>35871</v>
      </c>
      <c r="D282" s="67">
        <v>35913</v>
      </c>
      <c r="E282" s="67">
        <v>35874</v>
      </c>
      <c r="F282" t="s">
        <v>136</v>
      </c>
      <c r="G282">
        <v>44.65</v>
      </c>
      <c r="H282" t="s">
        <v>220</v>
      </c>
      <c r="I282" t="s">
        <v>150</v>
      </c>
    </row>
    <row r="283" spans="1:9">
      <c r="A283">
        <v>10958</v>
      </c>
      <c r="B283" t="s">
        <v>234</v>
      </c>
      <c r="C283" s="67">
        <v>35872</v>
      </c>
      <c r="D283" s="67">
        <v>35900</v>
      </c>
      <c r="E283" s="67">
        <v>35881</v>
      </c>
      <c r="F283" t="s">
        <v>136</v>
      </c>
      <c r="G283">
        <v>49.56</v>
      </c>
      <c r="H283" t="s">
        <v>234</v>
      </c>
      <c r="I283" t="s">
        <v>200</v>
      </c>
    </row>
    <row r="284" spans="1:9">
      <c r="A284">
        <v>10959</v>
      </c>
      <c r="B284" t="s">
        <v>228</v>
      </c>
      <c r="C284" s="67">
        <v>35872</v>
      </c>
      <c r="D284" s="67">
        <v>35914</v>
      </c>
      <c r="E284" s="67">
        <v>35877</v>
      </c>
      <c r="F284" t="s">
        <v>136</v>
      </c>
      <c r="G284">
        <v>4.98</v>
      </c>
      <c r="H284" t="s">
        <v>228</v>
      </c>
      <c r="I284" t="s">
        <v>137</v>
      </c>
    </row>
    <row r="285" spans="1:9">
      <c r="A285">
        <v>10962</v>
      </c>
      <c r="B285" t="s">
        <v>151</v>
      </c>
      <c r="C285" s="67">
        <v>35873</v>
      </c>
      <c r="D285" s="67">
        <v>35901</v>
      </c>
      <c r="E285" s="67">
        <v>35877</v>
      </c>
      <c r="F285" t="s">
        <v>136</v>
      </c>
      <c r="G285">
        <v>275.79</v>
      </c>
      <c r="H285" t="s">
        <v>151</v>
      </c>
      <c r="I285" t="s">
        <v>150</v>
      </c>
    </row>
    <row r="286" spans="1:9">
      <c r="A286">
        <v>10964</v>
      </c>
      <c r="B286" t="s">
        <v>237</v>
      </c>
      <c r="C286" s="67">
        <v>35874</v>
      </c>
      <c r="D286" s="67">
        <v>35902</v>
      </c>
      <c r="E286" s="67">
        <v>35878</v>
      </c>
      <c r="F286" t="s">
        <v>136</v>
      </c>
      <c r="G286">
        <v>87.38</v>
      </c>
      <c r="H286" t="s">
        <v>237</v>
      </c>
      <c r="I286" t="s">
        <v>154</v>
      </c>
    </row>
    <row r="287" spans="1:9">
      <c r="A287">
        <v>10967</v>
      </c>
      <c r="B287" t="s">
        <v>196</v>
      </c>
      <c r="C287" s="67">
        <v>35877</v>
      </c>
      <c r="D287" s="67">
        <v>35905</v>
      </c>
      <c r="E287" s="67">
        <v>35887</v>
      </c>
      <c r="F287" t="s">
        <v>136</v>
      </c>
      <c r="G287">
        <v>62.22</v>
      </c>
      <c r="H287" t="s">
        <v>196</v>
      </c>
      <c r="I287" t="s">
        <v>150</v>
      </c>
    </row>
    <row r="288" spans="1:9">
      <c r="A288">
        <v>10969</v>
      </c>
      <c r="B288" t="s">
        <v>210</v>
      </c>
      <c r="C288" s="67">
        <v>35877</v>
      </c>
      <c r="D288" s="67">
        <v>35905</v>
      </c>
      <c r="E288" s="67">
        <v>35884</v>
      </c>
      <c r="F288" t="s">
        <v>136</v>
      </c>
      <c r="G288">
        <v>0.21</v>
      </c>
      <c r="H288" t="s">
        <v>210</v>
      </c>
      <c r="I288" t="s">
        <v>137</v>
      </c>
    </row>
    <row r="289" spans="1:9">
      <c r="A289">
        <v>10971</v>
      </c>
      <c r="B289" t="s">
        <v>238</v>
      </c>
      <c r="C289" s="67">
        <v>35878</v>
      </c>
      <c r="D289" s="67">
        <v>35906</v>
      </c>
      <c r="E289" s="67">
        <v>35887</v>
      </c>
      <c r="F289" t="s">
        <v>136</v>
      </c>
      <c r="G289">
        <v>121.82</v>
      </c>
      <c r="H289" t="s">
        <v>238</v>
      </c>
      <c r="I289" t="s">
        <v>154</v>
      </c>
    </row>
    <row r="290" spans="1:9">
      <c r="A290">
        <v>10972</v>
      </c>
      <c r="B290" t="s">
        <v>239</v>
      </c>
      <c r="C290" s="67">
        <v>35878</v>
      </c>
      <c r="D290" s="67">
        <v>35906</v>
      </c>
      <c r="E290" s="67">
        <v>35880</v>
      </c>
      <c r="F290" t="s">
        <v>136</v>
      </c>
      <c r="G290">
        <v>0.02</v>
      </c>
      <c r="H290" t="s">
        <v>239</v>
      </c>
      <c r="I290" t="s">
        <v>154</v>
      </c>
    </row>
    <row r="291" spans="1:9">
      <c r="A291">
        <v>10973</v>
      </c>
      <c r="B291" t="s">
        <v>239</v>
      </c>
      <c r="C291" s="67">
        <v>35878</v>
      </c>
      <c r="D291" s="67">
        <v>35906</v>
      </c>
      <c r="E291" s="67">
        <v>35881</v>
      </c>
      <c r="F291" t="s">
        <v>136</v>
      </c>
      <c r="G291">
        <v>15.17</v>
      </c>
      <c r="H291" t="s">
        <v>239</v>
      </c>
      <c r="I291" t="s">
        <v>154</v>
      </c>
    </row>
    <row r="292" spans="1:9">
      <c r="A292">
        <v>10978</v>
      </c>
      <c r="B292" t="s">
        <v>216</v>
      </c>
      <c r="C292" s="67">
        <v>35880</v>
      </c>
      <c r="D292" s="67">
        <v>35908</v>
      </c>
      <c r="E292" s="67">
        <v>35908</v>
      </c>
      <c r="F292" t="s">
        <v>136</v>
      </c>
      <c r="G292">
        <v>32.82</v>
      </c>
      <c r="H292" t="s">
        <v>216</v>
      </c>
      <c r="I292" t="s">
        <v>139</v>
      </c>
    </row>
    <row r="293" spans="1:9">
      <c r="A293">
        <v>10979</v>
      </c>
      <c r="B293" t="s">
        <v>182</v>
      </c>
      <c r="C293" s="67">
        <v>35880</v>
      </c>
      <c r="D293" s="67">
        <v>35908</v>
      </c>
      <c r="E293" s="67">
        <v>35885</v>
      </c>
      <c r="F293" t="s">
        <v>136</v>
      </c>
      <c r="G293">
        <v>353.07</v>
      </c>
      <c r="H293" t="s">
        <v>182</v>
      </c>
      <c r="I293" t="s">
        <v>183</v>
      </c>
    </row>
    <row r="294" spans="1:9">
      <c r="A294">
        <v>10981</v>
      </c>
      <c r="B294" t="s">
        <v>135</v>
      </c>
      <c r="C294" s="67">
        <v>35881</v>
      </c>
      <c r="D294" s="67">
        <v>35909</v>
      </c>
      <c r="E294" s="67">
        <v>35887</v>
      </c>
      <c r="F294" t="s">
        <v>136</v>
      </c>
      <c r="G294">
        <v>193.37</v>
      </c>
      <c r="H294" t="s">
        <v>135</v>
      </c>
      <c r="I294" t="s">
        <v>137</v>
      </c>
    </row>
    <row r="295" spans="1:9">
      <c r="A295">
        <v>10983</v>
      </c>
      <c r="B295" t="s">
        <v>197</v>
      </c>
      <c r="C295" s="67">
        <v>35881</v>
      </c>
      <c r="D295" s="67">
        <v>35909</v>
      </c>
      <c r="E295" s="67">
        <v>35891</v>
      </c>
      <c r="F295" t="s">
        <v>136</v>
      </c>
      <c r="G295">
        <v>657.54</v>
      </c>
      <c r="H295" t="s">
        <v>197</v>
      </c>
      <c r="I295" t="s">
        <v>145</v>
      </c>
    </row>
    <row r="296" spans="1:9">
      <c r="A296">
        <v>10986</v>
      </c>
      <c r="B296" t="s">
        <v>234</v>
      </c>
      <c r="C296" s="67">
        <v>35884</v>
      </c>
      <c r="D296" s="67">
        <v>35912</v>
      </c>
      <c r="E296" s="67">
        <v>35906</v>
      </c>
      <c r="F296" t="s">
        <v>136</v>
      </c>
      <c r="G296">
        <v>217.86</v>
      </c>
      <c r="H296" t="s">
        <v>234</v>
      </c>
      <c r="I296" t="s">
        <v>200</v>
      </c>
    </row>
    <row r="297" spans="1:9">
      <c r="A297">
        <v>10988</v>
      </c>
      <c r="B297" t="s">
        <v>146</v>
      </c>
      <c r="C297" s="67">
        <v>35885</v>
      </c>
      <c r="D297" s="67">
        <v>35913</v>
      </c>
      <c r="E297" s="67">
        <v>35895</v>
      </c>
      <c r="F297" t="s">
        <v>136</v>
      </c>
      <c r="G297">
        <v>61.14</v>
      </c>
      <c r="H297" t="s">
        <v>146</v>
      </c>
      <c r="I297" t="s">
        <v>145</v>
      </c>
    </row>
    <row r="298" spans="1:9">
      <c r="A298">
        <v>10996</v>
      </c>
      <c r="B298" t="s">
        <v>151</v>
      </c>
      <c r="C298" s="67">
        <v>35887</v>
      </c>
      <c r="D298" s="67">
        <v>35915</v>
      </c>
      <c r="E298" s="67">
        <v>35895</v>
      </c>
      <c r="F298" t="s">
        <v>136</v>
      </c>
      <c r="G298">
        <v>1.12</v>
      </c>
      <c r="H298" t="s">
        <v>151</v>
      </c>
      <c r="I298" t="s">
        <v>150</v>
      </c>
    </row>
    <row r="299" spans="1:9">
      <c r="A299">
        <v>10997</v>
      </c>
      <c r="B299" t="s">
        <v>211</v>
      </c>
      <c r="C299" s="67">
        <v>35888</v>
      </c>
      <c r="D299" s="67">
        <v>35930</v>
      </c>
      <c r="E299" s="67">
        <v>35898</v>
      </c>
      <c r="F299" t="s">
        <v>136</v>
      </c>
      <c r="G299">
        <v>73.91</v>
      </c>
      <c r="H299" t="s">
        <v>211</v>
      </c>
      <c r="I299" t="s">
        <v>208</v>
      </c>
    </row>
    <row r="300" spans="1:9">
      <c r="A300">
        <v>10998</v>
      </c>
      <c r="B300" t="s">
        <v>224</v>
      </c>
      <c r="C300" s="67">
        <v>35888</v>
      </c>
      <c r="D300" s="67">
        <v>35902</v>
      </c>
      <c r="E300" s="67">
        <v>35902</v>
      </c>
      <c r="F300" t="s">
        <v>136</v>
      </c>
      <c r="G300">
        <v>20.31</v>
      </c>
      <c r="H300" t="s">
        <v>225</v>
      </c>
      <c r="I300" t="s">
        <v>226</v>
      </c>
    </row>
    <row r="301" spans="1:9">
      <c r="A301">
        <v>10999</v>
      </c>
      <c r="B301" t="s">
        <v>189</v>
      </c>
      <c r="C301" s="67">
        <v>35888</v>
      </c>
      <c r="D301" s="67">
        <v>35916</v>
      </c>
      <c r="E301" s="67">
        <v>35895</v>
      </c>
      <c r="F301" t="s">
        <v>136</v>
      </c>
      <c r="G301">
        <v>96.35</v>
      </c>
      <c r="H301" t="s">
        <v>189</v>
      </c>
      <c r="I301" t="s">
        <v>150</v>
      </c>
    </row>
    <row r="302" spans="1:9">
      <c r="A302">
        <v>11001</v>
      </c>
      <c r="B302" t="s">
        <v>194</v>
      </c>
      <c r="C302" s="67">
        <v>35891</v>
      </c>
      <c r="D302" s="67">
        <v>35919</v>
      </c>
      <c r="E302" s="67">
        <v>35899</v>
      </c>
      <c r="F302" t="s">
        <v>136</v>
      </c>
      <c r="G302">
        <v>197.3</v>
      </c>
      <c r="H302" t="s">
        <v>194</v>
      </c>
      <c r="I302" t="s">
        <v>148</v>
      </c>
    </row>
    <row r="303" spans="1:9">
      <c r="A303">
        <v>11006</v>
      </c>
      <c r="B303" t="s">
        <v>215</v>
      </c>
      <c r="C303" s="67">
        <v>35892</v>
      </c>
      <c r="D303" s="67">
        <v>35920</v>
      </c>
      <c r="E303" s="67">
        <v>35900</v>
      </c>
      <c r="F303" t="s">
        <v>136</v>
      </c>
      <c r="G303">
        <v>25.19</v>
      </c>
      <c r="H303" t="s">
        <v>215</v>
      </c>
      <c r="I303" t="s">
        <v>145</v>
      </c>
    </row>
    <row r="304" spans="1:9">
      <c r="A304">
        <v>11007</v>
      </c>
      <c r="B304" t="s">
        <v>174</v>
      </c>
      <c r="C304" s="67">
        <v>35893</v>
      </c>
      <c r="D304" s="67">
        <v>35921</v>
      </c>
      <c r="E304" s="67">
        <v>35898</v>
      </c>
      <c r="F304" t="s">
        <v>136</v>
      </c>
      <c r="G304">
        <v>202.24</v>
      </c>
      <c r="H304" t="s">
        <v>174</v>
      </c>
      <c r="I304" t="s">
        <v>175</v>
      </c>
    </row>
    <row r="305" spans="1:9">
      <c r="A305">
        <v>11010</v>
      </c>
      <c r="B305" t="s">
        <v>229</v>
      </c>
      <c r="C305" s="67">
        <v>35894</v>
      </c>
      <c r="D305" s="67">
        <v>35922</v>
      </c>
      <c r="E305" s="67">
        <v>35906</v>
      </c>
      <c r="F305" t="s">
        <v>136</v>
      </c>
      <c r="G305">
        <v>28.71</v>
      </c>
      <c r="H305" t="s">
        <v>229</v>
      </c>
      <c r="I305" t="s">
        <v>160</v>
      </c>
    </row>
    <row r="306" spans="1:9">
      <c r="A306">
        <v>11015</v>
      </c>
      <c r="B306" t="s">
        <v>186</v>
      </c>
      <c r="C306" s="67">
        <v>35895</v>
      </c>
      <c r="D306" s="67">
        <v>35909</v>
      </c>
      <c r="E306" s="67">
        <v>35905</v>
      </c>
      <c r="F306" t="s">
        <v>136</v>
      </c>
      <c r="G306">
        <v>4.62</v>
      </c>
      <c r="H306" t="s">
        <v>186</v>
      </c>
      <c r="I306" t="s">
        <v>187</v>
      </c>
    </row>
    <row r="307" spans="1:9">
      <c r="A307">
        <v>11016</v>
      </c>
      <c r="B307" t="s">
        <v>201</v>
      </c>
      <c r="C307" s="67">
        <v>35895</v>
      </c>
      <c r="D307" s="67">
        <v>35923</v>
      </c>
      <c r="E307" s="67">
        <v>35898</v>
      </c>
      <c r="F307" t="s">
        <v>136</v>
      </c>
      <c r="G307">
        <v>33.8</v>
      </c>
      <c r="H307" t="s">
        <v>201</v>
      </c>
      <c r="I307" t="s">
        <v>169</v>
      </c>
    </row>
    <row r="308" spans="1:9">
      <c r="A308">
        <v>11017</v>
      </c>
      <c r="B308" t="s">
        <v>182</v>
      </c>
      <c r="C308" s="67">
        <v>35898</v>
      </c>
      <c r="D308" s="67">
        <v>35926</v>
      </c>
      <c r="E308" s="67">
        <v>35905</v>
      </c>
      <c r="F308" t="s">
        <v>136</v>
      </c>
      <c r="G308">
        <v>754.26</v>
      </c>
      <c r="H308" t="s">
        <v>182</v>
      </c>
      <c r="I308" t="s">
        <v>183</v>
      </c>
    </row>
    <row r="309" spans="1:9">
      <c r="A309">
        <v>11018</v>
      </c>
      <c r="B309" t="s">
        <v>166</v>
      </c>
      <c r="C309" s="67">
        <v>35898</v>
      </c>
      <c r="D309" s="67">
        <v>35926</v>
      </c>
      <c r="E309" s="67">
        <v>35901</v>
      </c>
      <c r="F309" t="s">
        <v>136</v>
      </c>
      <c r="G309">
        <v>11.65</v>
      </c>
      <c r="H309" t="s">
        <v>166</v>
      </c>
      <c r="I309" t="s">
        <v>145</v>
      </c>
    </row>
    <row r="310" spans="1:9">
      <c r="A310">
        <v>11020</v>
      </c>
      <c r="B310" t="s">
        <v>189</v>
      </c>
      <c r="C310" s="67">
        <v>35899</v>
      </c>
      <c r="D310" s="67">
        <v>35927</v>
      </c>
      <c r="E310" s="67">
        <v>35901</v>
      </c>
      <c r="F310" t="s">
        <v>136</v>
      </c>
      <c r="G310">
        <v>43.3</v>
      </c>
      <c r="H310" t="s">
        <v>189</v>
      </c>
      <c r="I310" t="s">
        <v>150</v>
      </c>
    </row>
    <row r="311" spans="1:9">
      <c r="A311">
        <v>11022</v>
      </c>
      <c r="B311" t="s">
        <v>135</v>
      </c>
      <c r="C311" s="67">
        <v>35899</v>
      </c>
      <c r="D311" s="67">
        <v>35927</v>
      </c>
      <c r="E311" s="67">
        <v>35919</v>
      </c>
      <c r="F311" t="s">
        <v>136</v>
      </c>
      <c r="G311">
        <v>6.27</v>
      </c>
      <c r="H311" t="s">
        <v>135</v>
      </c>
      <c r="I311" t="s">
        <v>137</v>
      </c>
    </row>
    <row r="312" spans="1:9">
      <c r="A312">
        <v>11023</v>
      </c>
      <c r="B312" t="s">
        <v>236</v>
      </c>
      <c r="C312" s="67">
        <v>35899</v>
      </c>
      <c r="D312" s="67">
        <v>35913</v>
      </c>
      <c r="E312" s="67">
        <v>35909</v>
      </c>
      <c r="F312" t="s">
        <v>136</v>
      </c>
      <c r="G312">
        <v>123.83</v>
      </c>
      <c r="H312" t="s">
        <v>236</v>
      </c>
      <c r="I312" t="s">
        <v>169</v>
      </c>
    </row>
    <row r="313" spans="1:9">
      <c r="A313">
        <v>11030</v>
      </c>
      <c r="B313" t="s">
        <v>197</v>
      </c>
      <c r="C313" s="67">
        <v>35902</v>
      </c>
      <c r="D313" s="67">
        <v>35930</v>
      </c>
      <c r="E313" s="67">
        <v>35912</v>
      </c>
      <c r="F313" t="s">
        <v>136</v>
      </c>
      <c r="G313">
        <v>830.75</v>
      </c>
      <c r="H313" t="s">
        <v>197</v>
      </c>
      <c r="I313" t="s">
        <v>145</v>
      </c>
    </row>
    <row r="314" spans="1:9">
      <c r="A314">
        <v>11031</v>
      </c>
      <c r="B314" t="s">
        <v>197</v>
      </c>
      <c r="C314" s="67">
        <v>35902</v>
      </c>
      <c r="D314" s="67">
        <v>35930</v>
      </c>
      <c r="E314" s="67">
        <v>35909</v>
      </c>
      <c r="F314" t="s">
        <v>136</v>
      </c>
      <c r="G314">
        <v>227.22</v>
      </c>
      <c r="H314" t="s">
        <v>197</v>
      </c>
      <c r="I314" t="s">
        <v>145</v>
      </c>
    </row>
    <row r="315" spans="1:9">
      <c r="A315">
        <v>11035</v>
      </c>
      <c r="B315" t="s">
        <v>138</v>
      </c>
      <c r="C315" s="67">
        <v>35905</v>
      </c>
      <c r="D315" s="67">
        <v>35933</v>
      </c>
      <c r="E315" s="67">
        <v>35909</v>
      </c>
      <c r="F315" t="s">
        <v>136</v>
      </c>
      <c r="G315">
        <v>0.17</v>
      </c>
      <c r="H315" t="s">
        <v>138</v>
      </c>
      <c r="I315" t="s">
        <v>139</v>
      </c>
    </row>
    <row r="316" spans="1:9">
      <c r="A316">
        <v>11038</v>
      </c>
      <c r="B316" t="s">
        <v>138</v>
      </c>
      <c r="C316" s="67">
        <v>35906</v>
      </c>
      <c r="D316" s="67">
        <v>35934</v>
      </c>
      <c r="E316" s="67">
        <v>35915</v>
      </c>
      <c r="F316" t="s">
        <v>136</v>
      </c>
      <c r="G316">
        <v>29.59</v>
      </c>
      <c r="H316" t="s">
        <v>138</v>
      </c>
      <c r="I316" t="s">
        <v>139</v>
      </c>
    </row>
    <row r="317" spans="1:9">
      <c r="A317">
        <v>11039</v>
      </c>
      <c r="B317" t="s">
        <v>207</v>
      </c>
      <c r="C317" s="67">
        <v>35906</v>
      </c>
      <c r="D317" s="67">
        <v>35934</v>
      </c>
      <c r="E317" s="67"/>
      <c r="F317" t="s">
        <v>136</v>
      </c>
      <c r="G317">
        <v>65</v>
      </c>
      <c r="H317" t="s">
        <v>207</v>
      </c>
      <c r="I317" t="s">
        <v>208</v>
      </c>
    </row>
    <row r="318" spans="1:9">
      <c r="A318">
        <v>11041</v>
      </c>
      <c r="B318" t="s">
        <v>140</v>
      </c>
      <c r="C318" s="67">
        <v>35907</v>
      </c>
      <c r="D318" s="67">
        <v>35935</v>
      </c>
      <c r="E318" s="67">
        <v>35913</v>
      </c>
      <c r="F318" t="s">
        <v>136</v>
      </c>
      <c r="G318">
        <v>48.22</v>
      </c>
      <c r="H318" t="s">
        <v>140</v>
      </c>
      <c r="I318" t="s">
        <v>141</v>
      </c>
    </row>
    <row r="319" spans="1:9">
      <c r="A319">
        <v>11043</v>
      </c>
      <c r="B319" t="s">
        <v>237</v>
      </c>
      <c r="C319" s="67">
        <v>35907</v>
      </c>
      <c r="D319" s="67">
        <v>35935</v>
      </c>
      <c r="E319" s="67">
        <v>35914</v>
      </c>
      <c r="F319" t="s">
        <v>136</v>
      </c>
      <c r="G319">
        <v>8.8</v>
      </c>
      <c r="H319" t="s">
        <v>237</v>
      </c>
      <c r="I319" t="s">
        <v>154</v>
      </c>
    </row>
    <row r="320" spans="1:9">
      <c r="A320">
        <v>11045</v>
      </c>
      <c r="B320" t="s">
        <v>188</v>
      </c>
      <c r="C320" s="67">
        <v>35908</v>
      </c>
      <c r="D320" s="67">
        <v>35936</v>
      </c>
      <c r="E320" s="67"/>
      <c r="F320" t="s">
        <v>136</v>
      </c>
      <c r="G320">
        <v>70.58</v>
      </c>
      <c r="H320" t="s">
        <v>188</v>
      </c>
      <c r="I320" t="s">
        <v>172</v>
      </c>
    </row>
    <row r="321" spans="1:9">
      <c r="A321">
        <v>11046</v>
      </c>
      <c r="B321" t="s">
        <v>161</v>
      </c>
      <c r="C321" s="67">
        <v>35908</v>
      </c>
      <c r="D321" s="67">
        <v>35936</v>
      </c>
      <c r="E321" s="67">
        <v>35909</v>
      </c>
      <c r="F321" t="s">
        <v>136</v>
      </c>
      <c r="G321">
        <v>71.64</v>
      </c>
      <c r="H321" t="s">
        <v>161</v>
      </c>
      <c r="I321" t="s">
        <v>150</v>
      </c>
    </row>
    <row r="322" spans="1:9">
      <c r="A322">
        <v>11050</v>
      </c>
      <c r="B322" t="s">
        <v>194</v>
      </c>
      <c r="C322" s="67">
        <v>35912</v>
      </c>
      <c r="D322" s="67">
        <v>35940</v>
      </c>
      <c r="E322" s="67">
        <v>35920</v>
      </c>
      <c r="F322" t="s">
        <v>136</v>
      </c>
      <c r="G322">
        <v>59.41</v>
      </c>
      <c r="H322" t="s">
        <v>194</v>
      </c>
      <c r="I322" t="s">
        <v>148</v>
      </c>
    </row>
    <row r="323" spans="1:9">
      <c r="A323">
        <v>11053</v>
      </c>
      <c r="B323" t="s">
        <v>193</v>
      </c>
      <c r="C323" s="67">
        <v>35912</v>
      </c>
      <c r="D323" s="67">
        <v>35940</v>
      </c>
      <c r="E323" s="67">
        <v>35914</v>
      </c>
      <c r="F323" t="s">
        <v>136</v>
      </c>
      <c r="G323">
        <v>53.05</v>
      </c>
      <c r="H323" t="s">
        <v>193</v>
      </c>
      <c r="I323" t="s">
        <v>183</v>
      </c>
    </row>
    <row r="324" spans="1:9">
      <c r="A324">
        <v>11055</v>
      </c>
      <c r="B324" t="s">
        <v>209</v>
      </c>
      <c r="C324" s="67">
        <v>35913</v>
      </c>
      <c r="D324" s="67">
        <v>35941</v>
      </c>
      <c r="E324" s="67">
        <v>35920</v>
      </c>
      <c r="F324" t="s">
        <v>136</v>
      </c>
      <c r="G324">
        <v>120.92</v>
      </c>
      <c r="H324" t="s">
        <v>209</v>
      </c>
      <c r="I324" t="s">
        <v>208</v>
      </c>
    </row>
    <row r="325" spans="1:9">
      <c r="A325">
        <v>11056</v>
      </c>
      <c r="B325" t="s">
        <v>240</v>
      </c>
      <c r="C325" s="67">
        <v>35913</v>
      </c>
      <c r="D325" s="67">
        <v>35927</v>
      </c>
      <c r="E325" s="67">
        <v>35916</v>
      </c>
      <c r="F325" t="s">
        <v>136</v>
      </c>
      <c r="G325">
        <v>278.96</v>
      </c>
      <c r="H325" t="s">
        <v>240</v>
      </c>
      <c r="I325" t="s">
        <v>169</v>
      </c>
    </row>
    <row r="326" spans="1:9">
      <c r="A326">
        <v>11059</v>
      </c>
      <c r="B326" t="s">
        <v>158</v>
      </c>
      <c r="C326" s="67">
        <v>35914</v>
      </c>
      <c r="D326" s="67">
        <v>35956</v>
      </c>
      <c r="E326" s="67"/>
      <c r="F326" t="s">
        <v>136</v>
      </c>
      <c r="G326">
        <v>85.8</v>
      </c>
      <c r="H326" t="s">
        <v>158</v>
      </c>
      <c r="I326" t="s">
        <v>137</v>
      </c>
    </row>
    <row r="327" spans="1:9">
      <c r="A327">
        <v>11060</v>
      </c>
      <c r="B327" t="s">
        <v>241</v>
      </c>
      <c r="C327" s="67">
        <v>35915</v>
      </c>
      <c r="D327" s="67">
        <v>35943</v>
      </c>
      <c r="E327" s="67">
        <v>35919</v>
      </c>
      <c r="F327" t="s">
        <v>136</v>
      </c>
      <c r="G327">
        <v>10.98</v>
      </c>
      <c r="H327" t="s">
        <v>241</v>
      </c>
      <c r="I327" t="s">
        <v>160</v>
      </c>
    </row>
    <row r="328" spans="1:9">
      <c r="A328">
        <v>11062</v>
      </c>
      <c r="B328" t="s">
        <v>229</v>
      </c>
      <c r="C328" s="67">
        <v>35915</v>
      </c>
      <c r="D328" s="67">
        <v>35943</v>
      </c>
      <c r="E328" s="67"/>
      <c r="F328" t="s">
        <v>136</v>
      </c>
      <c r="G328">
        <v>29.93</v>
      </c>
      <c r="H328" t="s">
        <v>229</v>
      </c>
      <c r="I328" t="s">
        <v>160</v>
      </c>
    </row>
    <row r="329" spans="1:9">
      <c r="A329">
        <v>11063</v>
      </c>
      <c r="B329" t="s">
        <v>156</v>
      </c>
      <c r="C329" s="67">
        <v>35915</v>
      </c>
      <c r="D329" s="67">
        <v>35943</v>
      </c>
      <c r="E329" s="67">
        <v>35921</v>
      </c>
      <c r="F329" t="s">
        <v>136</v>
      </c>
      <c r="G329">
        <v>81.73</v>
      </c>
      <c r="H329" t="s">
        <v>156</v>
      </c>
      <c r="I329" t="s">
        <v>157</v>
      </c>
    </row>
    <row r="330" spans="1:9">
      <c r="A330">
        <v>11066</v>
      </c>
      <c r="B330" t="s">
        <v>177</v>
      </c>
      <c r="C330" s="67">
        <v>35916</v>
      </c>
      <c r="D330" s="67">
        <v>35944</v>
      </c>
      <c r="E330" s="67">
        <v>35919</v>
      </c>
      <c r="F330" t="s">
        <v>136</v>
      </c>
      <c r="G330">
        <v>44.72</v>
      </c>
      <c r="H330" t="s">
        <v>177</v>
      </c>
      <c r="I330" t="s">
        <v>145</v>
      </c>
    </row>
    <row r="331" spans="1:9">
      <c r="A331">
        <v>11067</v>
      </c>
      <c r="B331" t="s">
        <v>232</v>
      </c>
      <c r="C331" s="67">
        <v>35919</v>
      </c>
      <c r="D331" s="67">
        <v>35933</v>
      </c>
      <c r="E331" s="67">
        <v>35921</v>
      </c>
      <c r="F331" t="s">
        <v>136</v>
      </c>
      <c r="G331">
        <v>7.98</v>
      </c>
      <c r="H331" t="s">
        <v>232</v>
      </c>
      <c r="I331" t="s">
        <v>150</v>
      </c>
    </row>
    <row r="332" spans="1:9">
      <c r="A332">
        <v>11068</v>
      </c>
      <c r="B332" t="s">
        <v>184</v>
      </c>
      <c r="C332" s="67">
        <v>35919</v>
      </c>
      <c r="D332" s="67">
        <v>35947</v>
      </c>
      <c r="E332" s="67"/>
      <c r="F332" t="s">
        <v>136</v>
      </c>
      <c r="G332">
        <v>81.75</v>
      </c>
      <c r="H332" t="s">
        <v>184</v>
      </c>
      <c r="I332" t="s">
        <v>137</v>
      </c>
    </row>
    <row r="333" spans="1:9">
      <c r="A333">
        <v>11069</v>
      </c>
      <c r="B333" t="s">
        <v>164</v>
      </c>
      <c r="C333" s="67">
        <v>35919</v>
      </c>
      <c r="D333" s="67">
        <v>35947</v>
      </c>
      <c r="E333" s="67">
        <v>35921</v>
      </c>
      <c r="F333" t="s">
        <v>136</v>
      </c>
      <c r="G333">
        <v>15.67</v>
      </c>
      <c r="H333" t="s">
        <v>164</v>
      </c>
      <c r="I333" t="s">
        <v>165</v>
      </c>
    </row>
    <row r="334" spans="1:9">
      <c r="A334">
        <v>11072</v>
      </c>
      <c r="B334" t="s">
        <v>182</v>
      </c>
      <c r="C334" s="67">
        <v>35920</v>
      </c>
      <c r="D334" s="67">
        <v>35948</v>
      </c>
      <c r="E334" s="67"/>
      <c r="F334" t="s">
        <v>136</v>
      </c>
      <c r="G334">
        <v>258.64</v>
      </c>
      <c r="H334" t="s">
        <v>182</v>
      </c>
      <c r="I334" t="s">
        <v>183</v>
      </c>
    </row>
    <row r="335" spans="1:9">
      <c r="A335">
        <v>11073</v>
      </c>
      <c r="B335" t="s">
        <v>205</v>
      </c>
      <c r="C335" s="67">
        <v>35920</v>
      </c>
      <c r="D335" s="67">
        <v>35948</v>
      </c>
      <c r="E335" s="67"/>
      <c r="F335" t="s">
        <v>136</v>
      </c>
      <c r="G335">
        <v>24.95</v>
      </c>
      <c r="H335" t="s">
        <v>205</v>
      </c>
      <c r="I335" t="s">
        <v>165</v>
      </c>
    </row>
    <row r="336" spans="1:9">
      <c r="A336">
        <v>11074</v>
      </c>
      <c r="B336" t="s">
        <v>233</v>
      </c>
      <c r="C336" s="67">
        <v>35921</v>
      </c>
      <c r="D336" s="67">
        <v>35949</v>
      </c>
      <c r="E336" s="67"/>
      <c r="F336" t="s">
        <v>136</v>
      </c>
      <c r="G336">
        <v>18.44</v>
      </c>
      <c r="H336" t="s">
        <v>233</v>
      </c>
      <c r="I336" t="s">
        <v>222</v>
      </c>
    </row>
    <row r="337" spans="1:9">
      <c r="A337">
        <v>11075</v>
      </c>
      <c r="B337" t="s">
        <v>192</v>
      </c>
      <c r="C337" s="67">
        <v>35921</v>
      </c>
      <c r="D337" s="67">
        <v>35949</v>
      </c>
      <c r="E337" s="67"/>
      <c r="F337" t="s">
        <v>136</v>
      </c>
      <c r="G337">
        <v>6.19</v>
      </c>
      <c r="H337" t="s">
        <v>192</v>
      </c>
      <c r="I337" t="s">
        <v>141</v>
      </c>
    </row>
    <row r="338" spans="1:9">
      <c r="A338">
        <v>11076</v>
      </c>
      <c r="B338" t="s">
        <v>204</v>
      </c>
      <c r="C338" s="67">
        <v>35921</v>
      </c>
      <c r="D338" s="67">
        <v>35949</v>
      </c>
      <c r="E338" s="67"/>
      <c r="F338" t="s">
        <v>136</v>
      </c>
      <c r="G338">
        <v>38.28</v>
      </c>
      <c r="H338" t="s">
        <v>204</v>
      </c>
      <c r="I338" t="s">
        <v>154</v>
      </c>
    </row>
    <row r="339" spans="1:9">
      <c r="A339">
        <v>11077</v>
      </c>
      <c r="B339" t="s">
        <v>146</v>
      </c>
      <c r="C339" s="67">
        <v>35921</v>
      </c>
      <c r="D339" s="67">
        <v>35949</v>
      </c>
      <c r="E339" s="67"/>
      <c r="F339" t="s">
        <v>136</v>
      </c>
      <c r="G339">
        <v>8.53</v>
      </c>
      <c r="H339" t="s">
        <v>146</v>
      </c>
      <c r="I339" t="s">
        <v>145</v>
      </c>
    </row>
    <row r="340" spans="1:9">
      <c r="A340" s="99">
        <v>10248</v>
      </c>
      <c r="B340" s="99" t="s">
        <v>242</v>
      </c>
      <c r="C340" s="100">
        <v>35250</v>
      </c>
      <c r="D340" s="100">
        <v>35278</v>
      </c>
      <c r="E340" s="100">
        <v>35262</v>
      </c>
      <c r="F340" s="99" t="s">
        <v>243</v>
      </c>
      <c r="G340" s="99">
        <v>32.38</v>
      </c>
      <c r="H340" s="99" t="s">
        <v>153</v>
      </c>
      <c r="I340" t="s">
        <v>154</v>
      </c>
    </row>
    <row r="341" spans="1:9">
      <c r="A341" s="99">
        <v>10255</v>
      </c>
      <c r="B341" s="99" t="s">
        <v>192</v>
      </c>
      <c r="C341" s="100">
        <v>35258</v>
      </c>
      <c r="D341" s="100">
        <v>35286</v>
      </c>
      <c r="E341" s="100">
        <v>35261</v>
      </c>
      <c r="F341" s="99" t="s">
        <v>243</v>
      </c>
      <c r="G341" s="99">
        <v>148.33</v>
      </c>
      <c r="H341" s="99" t="s">
        <v>192</v>
      </c>
      <c r="I341" t="s">
        <v>141</v>
      </c>
    </row>
    <row r="342" spans="1:9">
      <c r="A342" s="99">
        <v>10257</v>
      </c>
      <c r="B342" s="99" t="s">
        <v>209</v>
      </c>
      <c r="C342" s="100">
        <v>35262</v>
      </c>
      <c r="D342" s="100">
        <v>35290</v>
      </c>
      <c r="E342" s="100">
        <v>35268</v>
      </c>
      <c r="F342" s="99" t="s">
        <v>243</v>
      </c>
      <c r="G342" s="99">
        <v>81.91</v>
      </c>
      <c r="H342" s="99" t="s">
        <v>209</v>
      </c>
      <c r="I342" t="s">
        <v>208</v>
      </c>
    </row>
    <row r="343" spans="1:9">
      <c r="A343" s="99">
        <v>10259</v>
      </c>
      <c r="B343" s="99" t="s">
        <v>244</v>
      </c>
      <c r="C343" s="100">
        <v>35264</v>
      </c>
      <c r="D343" s="100">
        <v>35292</v>
      </c>
      <c r="E343" s="100">
        <v>35271</v>
      </c>
      <c r="F343" s="99" t="s">
        <v>243</v>
      </c>
      <c r="G343" s="99">
        <v>3.25</v>
      </c>
      <c r="H343" s="99" t="s">
        <v>244</v>
      </c>
      <c r="I343" t="s">
        <v>165</v>
      </c>
    </row>
    <row r="344" spans="1:9">
      <c r="A344" s="99">
        <v>10262</v>
      </c>
      <c r="B344" s="99" t="s">
        <v>146</v>
      </c>
      <c r="C344" s="100">
        <v>35268</v>
      </c>
      <c r="D344" s="100">
        <v>35296</v>
      </c>
      <c r="E344" s="100">
        <v>35271</v>
      </c>
      <c r="F344" s="99" t="s">
        <v>243</v>
      </c>
      <c r="G344" s="99">
        <v>48.29</v>
      </c>
      <c r="H344" s="99" t="s">
        <v>146</v>
      </c>
      <c r="I344" t="s">
        <v>145</v>
      </c>
    </row>
    <row r="345" spans="1:9">
      <c r="A345" s="99">
        <v>10263</v>
      </c>
      <c r="B345" s="99" t="s">
        <v>182</v>
      </c>
      <c r="C345" s="100">
        <v>35269</v>
      </c>
      <c r="D345" s="100">
        <v>35297</v>
      </c>
      <c r="E345" s="100">
        <v>35277</v>
      </c>
      <c r="F345" s="99" t="s">
        <v>243</v>
      </c>
      <c r="G345" s="99">
        <v>146.06</v>
      </c>
      <c r="H345" s="99" t="s">
        <v>182</v>
      </c>
      <c r="I345" t="s">
        <v>183</v>
      </c>
    </row>
    <row r="346" spans="1:9">
      <c r="A346" s="99">
        <v>10264</v>
      </c>
      <c r="B346" s="99" t="s">
        <v>194</v>
      </c>
      <c r="C346" s="100">
        <v>35270</v>
      </c>
      <c r="D346" s="100">
        <v>35298</v>
      </c>
      <c r="E346" s="100">
        <v>35300</v>
      </c>
      <c r="F346" s="99" t="s">
        <v>243</v>
      </c>
      <c r="G346" s="99">
        <v>3.67</v>
      </c>
      <c r="H346" s="99" t="s">
        <v>194</v>
      </c>
      <c r="I346" t="s">
        <v>148</v>
      </c>
    </row>
    <row r="347" spans="1:9">
      <c r="A347" s="99">
        <v>10266</v>
      </c>
      <c r="B347" s="99" t="s">
        <v>190</v>
      </c>
      <c r="C347" s="100">
        <v>35272</v>
      </c>
      <c r="D347" s="100">
        <v>35314</v>
      </c>
      <c r="E347" s="100">
        <v>35277</v>
      </c>
      <c r="F347" s="99" t="s">
        <v>243</v>
      </c>
      <c r="G347" s="99">
        <v>25.73</v>
      </c>
      <c r="H347" s="99" t="s">
        <v>190</v>
      </c>
      <c r="I347" t="s">
        <v>191</v>
      </c>
    </row>
    <row r="348" spans="1:9">
      <c r="A348" s="99">
        <v>10268</v>
      </c>
      <c r="B348" s="99" t="s">
        <v>245</v>
      </c>
      <c r="C348" s="100">
        <v>35276</v>
      </c>
      <c r="D348" s="100">
        <v>35304</v>
      </c>
      <c r="E348" s="100">
        <v>35279</v>
      </c>
      <c r="F348" s="99" t="s">
        <v>243</v>
      </c>
      <c r="G348" s="99">
        <v>66.29</v>
      </c>
      <c r="H348" s="99" t="s">
        <v>245</v>
      </c>
      <c r="I348" t="s">
        <v>208</v>
      </c>
    </row>
    <row r="349" spans="1:9">
      <c r="A349" s="99">
        <v>10273</v>
      </c>
      <c r="B349" s="99" t="s">
        <v>151</v>
      </c>
      <c r="C349" s="100">
        <v>35282</v>
      </c>
      <c r="D349" s="100">
        <v>35310</v>
      </c>
      <c r="E349" s="100">
        <v>35289</v>
      </c>
      <c r="F349" s="99" t="s">
        <v>243</v>
      </c>
      <c r="G349" s="99">
        <v>76.07</v>
      </c>
      <c r="H349" s="99" t="s">
        <v>151</v>
      </c>
      <c r="I349" t="s">
        <v>150</v>
      </c>
    </row>
    <row r="350" spans="1:9">
      <c r="A350" s="99">
        <v>10276</v>
      </c>
      <c r="B350" s="99" t="s">
        <v>164</v>
      </c>
      <c r="C350" s="100">
        <v>35285</v>
      </c>
      <c r="D350" s="100">
        <v>35299</v>
      </c>
      <c r="E350" s="100">
        <v>35291</v>
      </c>
      <c r="F350" s="99" t="s">
        <v>243</v>
      </c>
      <c r="G350" s="99">
        <v>13.84</v>
      </c>
      <c r="H350" s="99" t="s">
        <v>164</v>
      </c>
      <c r="I350" t="s">
        <v>165</v>
      </c>
    </row>
    <row r="351" spans="1:9">
      <c r="A351" s="99">
        <v>10277</v>
      </c>
      <c r="B351" s="99" t="s">
        <v>231</v>
      </c>
      <c r="C351" s="100">
        <v>35286</v>
      </c>
      <c r="D351" s="100">
        <v>35314</v>
      </c>
      <c r="E351" s="100">
        <v>35290</v>
      </c>
      <c r="F351" s="99" t="s">
        <v>243</v>
      </c>
      <c r="G351" s="99">
        <v>125.77</v>
      </c>
      <c r="H351" s="99" t="s">
        <v>231</v>
      </c>
      <c r="I351" t="s">
        <v>150</v>
      </c>
    </row>
    <row r="352" spans="1:9">
      <c r="A352" s="99">
        <v>10283</v>
      </c>
      <c r="B352" s="99" t="s">
        <v>211</v>
      </c>
      <c r="C352" s="100">
        <v>35293</v>
      </c>
      <c r="D352" s="100">
        <v>35321</v>
      </c>
      <c r="E352" s="100">
        <v>35300</v>
      </c>
      <c r="F352" s="99" t="s">
        <v>243</v>
      </c>
      <c r="G352" s="99">
        <v>84.81</v>
      </c>
      <c r="H352" s="99" t="s">
        <v>211</v>
      </c>
      <c r="I352" t="s">
        <v>208</v>
      </c>
    </row>
    <row r="353" spans="1:9">
      <c r="A353" s="99">
        <v>10286</v>
      </c>
      <c r="B353" s="99" t="s">
        <v>151</v>
      </c>
      <c r="C353" s="100">
        <v>35298</v>
      </c>
      <c r="D353" s="100">
        <v>35326</v>
      </c>
      <c r="E353" s="100">
        <v>35307</v>
      </c>
      <c r="F353" s="99" t="s">
        <v>243</v>
      </c>
      <c r="G353" s="99">
        <v>229.24</v>
      </c>
      <c r="H353" s="99" t="s">
        <v>151</v>
      </c>
      <c r="I353" t="s">
        <v>150</v>
      </c>
    </row>
    <row r="354" spans="1:9">
      <c r="A354" s="99">
        <v>10287</v>
      </c>
      <c r="B354" s="99" t="s">
        <v>158</v>
      </c>
      <c r="C354" s="100">
        <v>35299</v>
      </c>
      <c r="D354" s="100">
        <v>35327</v>
      </c>
      <c r="E354" s="100">
        <v>35305</v>
      </c>
      <c r="F354" s="99" t="s">
        <v>243</v>
      </c>
      <c r="G354" s="99">
        <v>12.76</v>
      </c>
      <c r="H354" s="99" t="s">
        <v>158</v>
      </c>
      <c r="I354" t="s">
        <v>137</v>
      </c>
    </row>
    <row r="355" spans="1:9">
      <c r="A355" s="99">
        <v>10289</v>
      </c>
      <c r="B355" s="99" t="s">
        <v>236</v>
      </c>
      <c r="C355" s="100">
        <v>35303</v>
      </c>
      <c r="D355" s="100">
        <v>35331</v>
      </c>
      <c r="E355" s="100">
        <v>35305</v>
      </c>
      <c r="F355" s="99" t="s">
        <v>243</v>
      </c>
      <c r="G355" s="99">
        <v>22.77</v>
      </c>
      <c r="H355" s="99" t="s">
        <v>236</v>
      </c>
      <c r="I355" t="s">
        <v>169</v>
      </c>
    </row>
    <row r="356" spans="1:9">
      <c r="A356" s="99">
        <v>10293</v>
      </c>
      <c r="B356" s="99" t="s">
        <v>164</v>
      </c>
      <c r="C356" s="100">
        <v>35306</v>
      </c>
      <c r="D356" s="100">
        <v>35334</v>
      </c>
      <c r="E356" s="100">
        <v>35319</v>
      </c>
      <c r="F356" s="99" t="s">
        <v>243</v>
      </c>
      <c r="G356" s="99">
        <v>21.18</v>
      </c>
      <c r="H356" s="99" t="s">
        <v>164</v>
      </c>
      <c r="I356" t="s">
        <v>165</v>
      </c>
    </row>
    <row r="357" spans="1:9">
      <c r="A357" s="99">
        <v>10305</v>
      </c>
      <c r="B357" s="99" t="s">
        <v>198</v>
      </c>
      <c r="C357" s="100">
        <v>35321</v>
      </c>
      <c r="D357" s="100">
        <v>35349</v>
      </c>
      <c r="E357" s="100">
        <v>35347</v>
      </c>
      <c r="F357" s="99" t="s">
        <v>243</v>
      </c>
      <c r="G357" s="99">
        <v>257.62</v>
      </c>
      <c r="H357" s="99" t="s">
        <v>198</v>
      </c>
      <c r="I357" t="s">
        <v>145</v>
      </c>
    </row>
    <row r="358" spans="1:9">
      <c r="A358" s="99">
        <v>10306</v>
      </c>
      <c r="B358" s="99" t="s">
        <v>235</v>
      </c>
      <c r="C358" s="100">
        <v>35324</v>
      </c>
      <c r="D358" s="100">
        <v>35352</v>
      </c>
      <c r="E358" s="100">
        <v>35331</v>
      </c>
      <c r="F358" s="99" t="s">
        <v>243</v>
      </c>
      <c r="G358" s="99">
        <v>7.56</v>
      </c>
      <c r="H358" s="99" t="s">
        <v>235</v>
      </c>
      <c r="I358" t="s">
        <v>163</v>
      </c>
    </row>
    <row r="359" spans="1:9">
      <c r="A359" s="99">
        <v>10308</v>
      </c>
      <c r="B359" s="99" t="s">
        <v>246</v>
      </c>
      <c r="C359" s="100">
        <v>35326</v>
      </c>
      <c r="D359" s="100">
        <v>35354</v>
      </c>
      <c r="E359" s="100">
        <v>35332</v>
      </c>
      <c r="F359" s="99" t="s">
        <v>243</v>
      </c>
      <c r="G359" s="99">
        <v>1.61</v>
      </c>
      <c r="H359" s="99" t="s">
        <v>246</v>
      </c>
      <c r="I359" t="s">
        <v>165</v>
      </c>
    </row>
    <row r="360" spans="1:9">
      <c r="A360" s="99">
        <v>10311</v>
      </c>
      <c r="B360" s="99" t="s">
        <v>223</v>
      </c>
      <c r="C360" s="100">
        <v>35328</v>
      </c>
      <c r="D360" s="100">
        <v>35342</v>
      </c>
      <c r="E360" s="100">
        <v>35334</v>
      </c>
      <c r="F360" s="99" t="s">
        <v>243</v>
      </c>
      <c r="G360" s="99">
        <v>24.69</v>
      </c>
      <c r="H360" s="99" t="s">
        <v>223</v>
      </c>
      <c r="I360" t="s">
        <v>154</v>
      </c>
    </row>
    <row r="361" spans="1:9">
      <c r="A361" s="99">
        <v>10316</v>
      </c>
      <c r="B361" s="99" t="s">
        <v>146</v>
      </c>
      <c r="C361" s="100">
        <v>35335</v>
      </c>
      <c r="D361" s="100">
        <v>35363</v>
      </c>
      <c r="E361" s="100">
        <v>35346</v>
      </c>
      <c r="F361" s="99" t="s">
        <v>243</v>
      </c>
      <c r="G361" s="99">
        <v>150.15</v>
      </c>
      <c r="H361" s="99" t="s">
        <v>146</v>
      </c>
      <c r="I361" t="s">
        <v>145</v>
      </c>
    </row>
    <row r="362" spans="1:9">
      <c r="A362" s="99">
        <v>10319</v>
      </c>
      <c r="B362" s="99" t="s">
        <v>164</v>
      </c>
      <c r="C362" s="100">
        <v>35340</v>
      </c>
      <c r="D362" s="100">
        <v>35368</v>
      </c>
      <c r="E362" s="100">
        <v>35349</v>
      </c>
      <c r="F362" s="99" t="s">
        <v>243</v>
      </c>
      <c r="G362" s="99">
        <v>64.5</v>
      </c>
      <c r="H362" s="99" t="s">
        <v>164</v>
      </c>
      <c r="I362" t="s">
        <v>165</v>
      </c>
    </row>
    <row r="363" spans="1:9">
      <c r="A363" s="99">
        <v>10320</v>
      </c>
      <c r="B363" s="99" t="s">
        <v>190</v>
      </c>
      <c r="C363" s="100">
        <v>35341</v>
      </c>
      <c r="D363" s="100">
        <v>35355</v>
      </c>
      <c r="E363" s="100">
        <v>35356</v>
      </c>
      <c r="F363" s="99" t="s">
        <v>243</v>
      </c>
      <c r="G363" s="99">
        <v>34.57</v>
      </c>
      <c r="H363" s="99" t="s">
        <v>190</v>
      </c>
      <c r="I363" t="s">
        <v>191</v>
      </c>
    </row>
    <row r="364" spans="1:9">
      <c r="A364" s="99">
        <v>10322</v>
      </c>
      <c r="B364" s="99" t="s">
        <v>205</v>
      </c>
      <c r="C364" s="100">
        <v>35342</v>
      </c>
      <c r="D364" s="100">
        <v>35370</v>
      </c>
      <c r="E364" s="100">
        <v>35361</v>
      </c>
      <c r="F364" s="99" t="s">
        <v>243</v>
      </c>
      <c r="G364" s="99">
        <v>0.4</v>
      </c>
      <c r="H364" s="99" t="s">
        <v>205</v>
      </c>
      <c r="I364" t="s">
        <v>165</v>
      </c>
    </row>
    <row r="365" spans="1:9">
      <c r="A365" s="99">
        <v>10325</v>
      </c>
      <c r="B365" s="99" t="s">
        <v>202</v>
      </c>
      <c r="C365" s="100">
        <v>35347</v>
      </c>
      <c r="D365" s="100">
        <v>35361</v>
      </c>
      <c r="E365" s="100">
        <v>35352</v>
      </c>
      <c r="F365" s="99" t="s">
        <v>243</v>
      </c>
      <c r="G365" s="99">
        <v>64.86</v>
      </c>
      <c r="H365" s="99" t="s">
        <v>202</v>
      </c>
      <c r="I365" t="s">
        <v>150</v>
      </c>
    </row>
    <row r="366" spans="1:9">
      <c r="A366" s="99">
        <v>10328</v>
      </c>
      <c r="B366" s="99" t="s">
        <v>203</v>
      </c>
      <c r="C366" s="100">
        <v>35352</v>
      </c>
      <c r="D366" s="100">
        <v>35380</v>
      </c>
      <c r="E366" s="100">
        <v>35355</v>
      </c>
      <c r="F366" s="99" t="s">
        <v>243</v>
      </c>
      <c r="G366" s="99">
        <v>87.03</v>
      </c>
      <c r="H366" s="99" t="s">
        <v>203</v>
      </c>
      <c r="I366" t="s">
        <v>175</v>
      </c>
    </row>
    <row r="367" spans="1:9">
      <c r="A367" s="99">
        <v>10333</v>
      </c>
      <c r="B367" s="99" t="s">
        <v>190</v>
      </c>
      <c r="C367" s="100">
        <v>35356</v>
      </c>
      <c r="D367" s="100">
        <v>35384</v>
      </c>
      <c r="E367" s="100">
        <v>35363</v>
      </c>
      <c r="F367" s="99" t="s">
        <v>243</v>
      </c>
      <c r="G367" s="99">
        <v>0.59</v>
      </c>
      <c r="H367" s="99" t="s">
        <v>190</v>
      </c>
      <c r="I367" t="s">
        <v>191</v>
      </c>
    </row>
    <row r="368" spans="1:9">
      <c r="A368" s="99">
        <v>10337</v>
      </c>
      <c r="B368" s="99" t="s">
        <v>176</v>
      </c>
      <c r="C368" s="100">
        <v>35362</v>
      </c>
      <c r="D368" s="100">
        <v>35390</v>
      </c>
      <c r="E368" s="100">
        <v>35367</v>
      </c>
      <c r="F368" s="99" t="s">
        <v>243</v>
      </c>
      <c r="G368" s="99">
        <v>108.26</v>
      </c>
      <c r="H368" s="99" t="s">
        <v>176</v>
      </c>
      <c r="I368" t="s">
        <v>150</v>
      </c>
    </row>
    <row r="369" spans="1:9">
      <c r="A369" s="99">
        <v>10338</v>
      </c>
      <c r="B369" s="99" t="s">
        <v>198</v>
      </c>
      <c r="C369" s="100">
        <v>35363</v>
      </c>
      <c r="D369" s="100">
        <v>35391</v>
      </c>
      <c r="E369" s="100">
        <v>35367</v>
      </c>
      <c r="F369" s="99" t="s">
        <v>243</v>
      </c>
      <c r="G369" s="99">
        <v>84.21</v>
      </c>
      <c r="H369" s="99" t="s">
        <v>198</v>
      </c>
      <c r="I369" t="s">
        <v>145</v>
      </c>
    </row>
    <row r="370" spans="1:9">
      <c r="A370">
        <v>10340</v>
      </c>
      <c r="B370" t="s">
        <v>204</v>
      </c>
      <c r="C370" s="67">
        <v>35367</v>
      </c>
      <c r="D370" s="67">
        <v>35395</v>
      </c>
      <c r="E370" s="67">
        <v>35377</v>
      </c>
      <c r="F370" t="s">
        <v>243</v>
      </c>
      <c r="G370">
        <v>166.31</v>
      </c>
      <c r="H370" t="s">
        <v>204</v>
      </c>
      <c r="I370" t="s">
        <v>154</v>
      </c>
    </row>
    <row r="371" spans="1:9">
      <c r="A371">
        <v>10341</v>
      </c>
      <c r="B371" t="s">
        <v>233</v>
      </c>
      <c r="C371" s="67">
        <v>35367</v>
      </c>
      <c r="D371" s="67">
        <v>35395</v>
      </c>
      <c r="E371" s="67">
        <v>35374</v>
      </c>
      <c r="F371" t="s">
        <v>243</v>
      </c>
      <c r="G371">
        <v>26.78</v>
      </c>
      <c r="H371" t="s">
        <v>233</v>
      </c>
      <c r="I371" t="s">
        <v>222</v>
      </c>
    </row>
    <row r="372" spans="1:9">
      <c r="A372">
        <v>10346</v>
      </c>
      <c r="B372" t="s">
        <v>146</v>
      </c>
      <c r="C372" s="67">
        <v>35374</v>
      </c>
      <c r="D372" s="67">
        <v>35416</v>
      </c>
      <c r="E372" s="67">
        <v>35377</v>
      </c>
      <c r="F372" t="s">
        <v>243</v>
      </c>
      <c r="G372">
        <v>142.08</v>
      </c>
      <c r="H372" t="s">
        <v>146</v>
      </c>
      <c r="I372" t="s">
        <v>145</v>
      </c>
    </row>
    <row r="373" spans="1:9">
      <c r="A373">
        <v>10347</v>
      </c>
      <c r="B373" t="s">
        <v>212</v>
      </c>
      <c r="C373" s="67">
        <v>35375</v>
      </c>
      <c r="D373" s="67">
        <v>35403</v>
      </c>
      <c r="E373" s="67">
        <v>35377</v>
      </c>
      <c r="F373" t="s">
        <v>243</v>
      </c>
      <c r="G373">
        <v>3.1</v>
      </c>
      <c r="H373" t="s">
        <v>212</v>
      </c>
      <c r="I373" t="s">
        <v>137</v>
      </c>
    </row>
    <row r="374" spans="1:9">
      <c r="A374">
        <v>10352</v>
      </c>
      <c r="B374" t="s">
        <v>203</v>
      </c>
      <c r="C374" s="67">
        <v>35381</v>
      </c>
      <c r="D374" s="67">
        <v>35395</v>
      </c>
      <c r="E374" s="67">
        <v>35387</v>
      </c>
      <c r="F374" t="s">
        <v>243</v>
      </c>
      <c r="G374">
        <v>1.3</v>
      </c>
      <c r="H374" t="s">
        <v>203</v>
      </c>
      <c r="I374" t="s">
        <v>175</v>
      </c>
    </row>
    <row r="375" spans="1:9">
      <c r="A375">
        <v>10353</v>
      </c>
      <c r="B375" t="s">
        <v>193</v>
      </c>
      <c r="C375" s="67">
        <v>35382</v>
      </c>
      <c r="D375" s="67">
        <v>35410</v>
      </c>
      <c r="E375" s="67">
        <v>35394</v>
      </c>
      <c r="F375" t="s">
        <v>243</v>
      </c>
      <c r="G375">
        <v>360.63</v>
      </c>
      <c r="H375" t="s">
        <v>193</v>
      </c>
      <c r="I375" t="s">
        <v>183</v>
      </c>
    </row>
    <row r="376" spans="1:9">
      <c r="A376">
        <v>10354</v>
      </c>
      <c r="B376" t="s">
        <v>205</v>
      </c>
      <c r="C376" s="67">
        <v>35383</v>
      </c>
      <c r="D376" s="67">
        <v>35411</v>
      </c>
      <c r="E376" s="67">
        <v>35389</v>
      </c>
      <c r="F376" t="s">
        <v>243</v>
      </c>
      <c r="G376">
        <v>53.8</v>
      </c>
      <c r="H376" t="s">
        <v>205</v>
      </c>
      <c r="I376" t="s">
        <v>165</v>
      </c>
    </row>
    <row r="377" spans="1:9">
      <c r="A377">
        <v>10357</v>
      </c>
      <c r="B377" t="s">
        <v>211</v>
      </c>
      <c r="C377" s="67">
        <v>35388</v>
      </c>
      <c r="D377" s="67">
        <v>35416</v>
      </c>
      <c r="E377" s="67">
        <v>35401</v>
      </c>
      <c r="F377" t="s">
        <v>243</v>
      </c>
      <c r="G377">
        <v>34.88</v>
      </c>
      <c r="H377" t="s">
        <v>211</v>
      </c>
      <c r="I377" t="s">
        <v>208</v>
      </c>
    </row>
    <row r="378" spans="1:9">
      <c r="A378">
        <v>10359</v>
      </c>
      <c r="B378" t="s">
        <v>214</v>
      </c>
      <c r="C378" s="67">
        <v>35390</v>
      </c>
      <c r="D378" s="67">
        <v>35418</v>
      </c>
      <c r="E378" s="67">
        <v>35395</v>
      </c>
      <c r="F378" t="s">
        <v>243</v>
      </c>
      <c r="G378">
        <v>288.43</v>
      </c>
      <c r="H378" t="s">
        <v>214</v>
      </c>
      <c r="I378" t="s">
        <v>169</v>
      </c>
    </row>
    <row r="379" spans="1:9">
      <c r="A379">
        <v>10360</v>
      </c>
      <c r="B379" t="s">
        <v>155</v>
      </c>
      <c r="C379" s="67">
        <v>35391</v>
      </c>
      <c r="D379" s="67">
        <v>35419</v>
      </c>
      <c r="E379" s="67">
        <v>35401</v>
      </c>
      <c r="F379" t="s">
        <v>243</v>
      </c>
      <c r="G379">
        <v>131.7</v>
      </c>
      <c r="H379" t="s">
        <v>155</v>
      </c>
      <c r="I379" t="s">
        <v>154</v>
      </c>
    </row>
    <row r="380" spans="1:9">
      <c r="A380">
        <v>10363</v>
      </c>
      <c r="B380" t="s">
        <v>232</v>
      </c>
      <c r="C380" s="67">
        <v>35395</v>
      </c>
      <c r="D380" s="67">
        <v>35423</v>
      </c>
      <c r="E380" s="67">
        <v>35403</v>
      </c>
      <c r="F380" t="s">
        <v>243</v>
      </c>
      <c r="G380">
        <v>30.54</v>
      </c>
      <c r="H380" t="s">
        <v>232</v>
      </c>
      <c r="I380" t="s">
        <v>150</v>
      </c>
    </row>
    <row r="381" spans="1:9">
      <c r="A381">
        <v>10367</v>
      </c>
      <c r="B381" t="s">
        <v>221</v>
      </c>
      <c r="C381" s="67">
        <v>35397</v>
      </c>
      <c r="D381" s="67">
        <v>35425</v>
      </c>
      <c r="E381" s="67">
        <v>35401</v>
      </c>
      <c r="F381" t="s">
        <v>243</v>
      </c>
      <c r="G381">
        <v>13.55</v>
      </c>
      <c r="H381" t="s">
        <v>221</v>
      </c>
      <c r="I381" t="s">
        <v>222</v>
      </c>
    </row>
    <row r="382" spans="1:9">
      <c r="A382">
        <v>10373</v>
      </c>
      <c r="B382" t="s">
        <v>156</v>
      </c>
      <c r="C382" s="67">
        <v>35404</v>
      </c>
      <c r="D382" s="67">
        <v>35432</v>
      </c>
      <c r="E382" s="67">
        <v>35410</v>
      </c>
      <c r="F382" t="s">
        <v>243</v>
      </c>
      <c r="G382">
        <v>124.12</v>
      </c>
      <c r="H382" t="s">
        <v>156</v>
      </c>
      <c r="I382" t="s">
        <v>157</v>
      </c>
    </row>
    <row r="383" spans="1:9">
      <c r="A383">
        <v>10374</v>
      </c>
      <c r="B383" t="s">
        <v>224</v>
      </c>
      <c r="C383" s="67">
        <v>35404</v>
      </c>
      <c r="D383" s="67">
        <v>35432</v>
      </c>
      <c r="E383" s="67">
        <v>35408</v>
      </c>
      <c r="F383" t="s">
        <v>243</v>
      </c>
      <c r="G383">
        <v>3.94</v>
      </c>
      <c r="H383" t="s">
        <v>225</v>
      </c>
      <c r="I383" t="s">
        <v>226</v>
      </c>
    </row>
    <row r="384" spans="1:9">
      <c r="A384">
        <v>10377</v>
      </c>
      <c r="B384" t="s">
        <v>214</v>
      </c>
      <c r="C384" s="67">
        <v>35408</v>
      </c>
      <c r="D384" s="67">
        <v>35436</v>
      </c>
      <c r="E384" s="67">
        <v>35412</v>
      </c>
      <c r="F384" t="s">
        <v>243</v>
      </c>
      <c r="G384">
        <v>22.21</v>
      </c>
      <c r="H384" t="s">
        <v>214</v>
      </c>
      <c r="I384" t="s">
        <v>169</v>
      </c>
    </row>
    <row r="385" spans="1:9">
      <c r="A385">
        <v>10378</v>
      </c>
      <c r="B385" t="s">
        <v>194</v>
      </c>
      <c r="C385" s="67">
        <v>35409</v>
      </c>
      <c r="D385" s="67">
        <v>35437</v>
      </c>
      <c r="E385" s="67">
        <v>35418</v>
      </c>
      <c r="F385" t="s">
        <v>243</v>
      </c>
      <c r="G385">
        <v>5.44</v>
      </c>
      <c r="H385" t="s">
        <v>194</v>
      </c>
      <c r="I385" t="s">
        <v>148</v>
      </c>
    </row>
    <row r="386" spans="1:9">
      <c r="A386">
        <v>10380</v>
      </c>
      <c r="B386" t="s">
        <v>156</v>
      </c>
      <c r="C386" s="67">
        <v>35411</v>
      </c>
      <c r="D386" s="67">
        <v>35439</v>
      </c>
      <c r="E386" s="67">
        <v>35446</v>
      </c>
      <c r="F386" t="s">
        <v>243</v>
      </c>
      <c r="G386">
        <v>35.03</v>
      </c>
      <c r="H386" t="s">
        <v>156</v>
      </c>
      <c r="I386" t="s">
        <v>157</v>
      </c>
    </row>
    <row r="387" spans="1:9">
      <c r="A387">
        <v>10381</v>
      </c>
      <c r="B387" t="s">
        <v>211</v>
      </c>
      <c r="C387" s="67">
        <v>35411</v>
      </c>
      <c r="D387" s="67">
        <v>35439</v>
      </c>
      <c r="E387" s="67">
        <v>35412</v>
      </c>
      <c r="F387" t="s">
        <v>243</v>
      </c>
      <c r="G387">
        <v>7.99</v>
      </c>
      <c r="H387" t="s">
        <v>211</v>
      </c>
      <c r="I387" t="s">
        <v>208</v>
      </c>
    </row>
    <row r="388" spans="1:9">
      <c r="A388">
        <v>10383</v>
      </c>
      <c r="B388" t="s">
        <v>201</v>
      </c>
      <c r="C388" s="67">
        <v>35415</v>
      </c>
      <c r="D388" s="67">
        <v>35443</v>
      </c>
      <c r="E388" s="67">
        <v>35417</v>
      </c>
      <c r="F388" t="s">
        <v>243</v>
      </c>
      <c r="G388">
        <v>34.24</v>
      </c>
      <c r="H388" t="s">
        <v>201</v>
      </c>
      <c r="I388" t="s">
        <v>169</v>
      </c>
    </row>
    <row r="389" spans="1:9">
      <c r="A389">
        <v>10384</v>
      </c>
      <c r="B389" t="s">
        <v>147</v>
      </c>
      <c r="C389" s="67">
        <v>35415</v>
      </c>
      <c r="D389" s="67">
        <v>35443</v>
      </c>
      <c r="E389" s="67">
        <v>35419</v>
      </c>
      <c r="F389" t="s">
        <v>243</v>
      </c>
      <c r="G389">
        <v>168.64</v>
      </c>
      <c r="H389" t="s">
        <v>147</v>
      </c>
      <c r="I389" t="s">
        <v>148</v>
      </c>
    </row>
    <row r="390" spans="1:9">
      <c r="A390">
        <v>10386</v>
      </c>
      <c r="B390" t="s">
        <v>212</v>
      </c>
      <c r="C390" s="67">
        <v>35417</v>
      </c>
      <c r="D390" s="67">
        <v>35431</v>
      </c>
      <c r="E390" s="67">
        <v>35424</v>
      </c>
      <c r="F390" t="s">
        <v>243</v>
      </c>
      <c r="G390">
        <v>13.99</v>
      </c>
      <c r="H390" t="s">
        <v>212</v>
      </c>
      <c r="I390" t="s">
        <v>137</v>
      </c>
    </row>
    <row r="391" spans="1:9">
      <c r="A391">
        <v>10391</v>
      </c>
      <c r="B391" t="s">
        <v>232</v>
      </c>
      <c r="C391" s="67">
        <v>35422</v>
      </c>
      <c r="D391" s="67">
        <v>35450</v>
      </c>
      <c r="E391" s="67">
        <v>35430</v>
      </c>
      <c r="F391" t="s">
        <v>243</v>
      </c>
      <c r="G391">
        <v>5.45</v>
      </c>
      <c r="H391" t="s">
        <v>232</v>
      </c>
      <c r="I391" t="s">
        <v>150</v>
      </c>
    </row>
    <row r="392" spans="1:9">
      <c r="A392">
        <v>10392</v>
      </c>
      <c r="B392" t="s">
        <v>193</v>
      </c>
      <c r="C392" s="67">
        <v>35423</v>
      </c>
      <c r="D392" s="67">
        <v>35451</v>
      </c>
      <c r="E392" s="67">
        <v>35431</v>
      </c>
      <c r="F392" t="s">
        <v>243</v>
      </c>
      <c r="G392">
        <v>122.46</v>
      </c>
      <c r="H392" t="s">
        <v>193</v>
      </c>
      <c r="I392" t="s">
        <v>183</v>
      </c>
    </row>
    <row r="393" spans="1:9">
      <c r="A393">
        <v>10393</v>
      </c>
      <c r="B393" t="s">
        <v>197</v>
      </c>
      <c r="C393" s="67">
        <v>35424</v>
      </c>
      <c r="D393" s="67">
        <v>35452</v>
      </c>
      <c r="E393" s="67">
        <v>35433</v>
      </c>
      <c r="F393" t="s">
        <v>243</v>
      </c>
      <c r="G393">
        <v>126.56</v>
      </c>
      <c r="H393" t="s">
        <v>197</v>
      </c>
      <c r="I393" t="s">
        <v>145</v>
      </c>
    </row>
    <row r="394" spans="1:9">
      <c r="A394">
        <v>10394</v>
      </c>
      <c r="B394" t="s">
        <v>185</v>
      </c>
      <c r="C394" s="67">
        <v>35424</v>
      </c>
      <c r="D394" s="67">
        <v>35452</v>
      </c>
      <c r="E394" s="67">
        <v>35433</v>
      </c>
      <c r="F394" t="s">
        <v>243</v>
      </c>
      <c r="G394">
        <v>30.34</v>
      </c>
      <c r="H394" t="s">
        <v>185</v>
      </c>
      <c r="I394" t="s">
        <v>145</v>
      </c>
    </row>
    <row r="395" spans="1:9">
      <c r="A395">
        <v>10396</v>
      </c>
      <c r="B395" t="s">
        <v>176</v>
      </c>
      <c r="C395" s="67">
        <v>35426</v>
      </c>
      <c r="D395" s="67">
        <v>35440</v>
      </c>
      <c r="E395" s="67">
        <v>35436</v>
      </c>
      <c r="F395" t="s">
        <v>243</v>
      </c>
      <c r="G395">
        <v>135.35</v>
      </c>
      <c r="H395" t="s">
        <v>176</v>
      </c>
      <c r="I395" t="s">
        <v>150</v>
      </c>
    </row>
    <row r="396" spans="1:9">
      <c r="A396">
        <v>10398</v>
      </c>
      <c r="B396" t="s">
        <v>197</v>
      </c>
      <c r="C396" s="67">
        <v>35429</v>
      </c>
      <c r="D396" s="67">
        <v>35457</v>
      </c>
      <c r="E396" s="67">
        <v>35439</v>
      </c>
      <c r="F396" t="s">
        <v>243</v>
      </c>
      <c r="G396">
        <v>89.16</v>
      </c>
      <c r="H396" t="s">
        <v>197</v>
      </c>
      <c r="I396" t="s">
        <v>145</v>
      </c>
    </row>
    <row r="397" spans="1:9">
      <c r="A397">
        <v>10399</v>
      </c>
      <c r="B397" t="s">
        <v>221</v>
      </c>
      <c r="C397" s="67">
        <v>35430</v>
      </c>
      <c r="D397" s="67">
        <v>35444</v>
      </c>
      <c r="E397" s="67">
        <v>35438</v>
      </c>
      <c r="F397" t="s">
        <v>243</v>
      </c>
      <c r="G397">
        <v>27.36</v>
      </c>
      <c r="H397" t="s">
        <v>221</v>
      </c>
      <c r="I397" t="s">
        <v>222</v>
      </c>
    </row>
    <row r="398" spans="1:9">
      <c r="A398">
        <v>10400</v>
      </c>
      <c r="B398" t="s">
        <v>240</v>
      </c>
      <c r="C398" s="67">
        <v>35431</v>
      </c>
      <c r="D398" s="67">
        <v>35459</v>
      </c>
      <c r="E398" s="67">
        <v>35446</v>
      </c>
      <c r="F398" t="s">
        <v>243</v>
      </c>
      <c r="G398">
        <v>83.93</v>
      </c>
      <c r="H398" t="s">
        <v>240</v>
      </c>
      <c r="I398" t="s">
        <v>169</v>
      </c>
    </row>
    <row r="399" spans="1:9">
      <c r="A399">
        <v>10403</v>
      </c>
      <c r="B399" t="s">
        <v>182</v>
      </c>
      <c r="C399" s="67">
        <v>35433</v>
      </c>
      <c r="D399" s="67">
        <v>35461</v>
      </c>
      <c r="E399" s="67">
        <v>35439</v>
      </c>
      <c r="F399" t="s">
        <v>243</v>
      </c>
      <c r="G399">
        <v>73.79</v>
      </c>
      <c r="H399" t="s">
        <v>182</v>
      </c>
      <c r="I399" t="s">
        <v>183</v>
      </c>
    </row>
    <row r="400" spans="1:9">
      <c r="A400">
        <v>10410</v>
      </c>
      <c r="B400" t="s">
        <v>188</v>
      </c>
      <c r="C400" s="67">
        <v>35440</v>
      </c>
      <c r="D400" s="67">
        <v>35468</v>
      </c>
      <c r="E400" s="67">
        <v>35445</v>
      </c>
      <c r="F400" t="s">
        <v>243</v>
      </c>
      <c r="G400">
        <v>2.4</v>
      </c>
      <c r="H400" t="s">
        <v>188</v>
      </c>
      <c r="I400" t="s">
        <v>172</v>
      </c>
    </row>
    <row r="401" spans="1:9">
      <c r="A401">
        <v>10411</v>
      </c>
      <c r="B401" t="s">
        <v>188</v>
      </c>
      <c r="C401" s="67">
        <v>35440</v>
      </c>
      <c r="D401" s="67">
        <v>35468</v>
      </c>
      <c r="E401" s="67">
        <v>35451</v>
      </c>
      <c r="F401" t="s">
        <v>243</v>
      </c>
      <c r="G401">
        <v>23.65</v>
      </c>
      <c r="H401" t="s">
        <v>188</v>
      </c>
      <c r="I401" t="s">
        <v>172</v>
      </c>
    </row>
    <row r="402" spans="1:9">
      <c r="A402">
        <v>10414</v>
      </c>
      <c r="B402" t="s">
        <v>212</v>
      </c>
      <c r="C402" s="67">
        <v>35444</v>
      </c>
      <c r="D402" s="67">
        <v>35472</v>
      </c>
      <c r="E402" s="67">
        <v>35447</v>
      </c>
      <c r="F402" t="s">
        <v>243</v>
      </c>
      <c r="G402">
        <v>21.48</v>
      </c>
      <c r="H402" t="s">
        <v>212</v>
      </c>
      <c r="I402" t="s">
        <v>137</v>
      </c>
    </row>
    <row r="403" spans="1:9">
      <c r="A403">
        <v>10416</v>
      </c>
      <c r="B403" t="s">
        <v>190</v>
      </c>
      <c r="C403" s="67">
        <v>35446</v>
      </c>
      <c r="D403" s="67">
        <v>35474</v>
      </c>
      <c r="E403" s="67">
        <v>35457</v>
      </c>
      <c r="F403" t="s">
        <v>243</v>
      </c>
      <c r="G403">
        <v>22.72</v>
      </c>
      <c r="H403" t="s">
        <v>190</v>
      </c>
      <c r="I403" t="s">
        <v>191</v>
      </c>
    </row>
    <row r="404" spans="1:9">
      <c r="A404">
        <v>10417</v>
      </c>
      <c r="B404" t="s">
        <v>233</v>
      </c>
      <c r="C404" s="67">
        <v>35446</v>
      </c>
      <c r="D404" s="67">
        <v>35474</v>
      </c>
      <c r="E404" s="67">
        <v>35458</v>
      </c>
      <c r="F404" t="s">
        <v>243</v>
      </c>
      <c r="G404">
        <v>70.29</v>
      </c>
      <c r="H404" t="s">
        <v>233</v>
      </c>
      <c r="I404" t="s">
        <v>222</v>
      </c>
    </row>
    <row r="405" spans="1:9">
      <c r="A405">
        <v>10423</v>
      </c>
      <c r="B405" t="s">
        <v>228</v>
      </c>
      <c r="C405" s="67">
        <v>35453</v>
      </c>
      <c r="D405" s="67">
        <v>35467</v>
      </c>
      <c r="E405" s="67">
        <v>35485</v>
      </c>
      <c r="F405" t="s">
        <v>243</v>
      </c>
      <c r="G405">
        <v>24.5</v>
      </c>
      <c r="H405" t="s">
        <v>228</v>
      </c>
      <c r="I405" t="s">
        <v>137</v>
      </c>
    </row>
    <row r="406" spans="1:9">
      <c r="A406">
        <v>10433</v>
      </c>
      <c r="B406" t="s">
        <v>174</v>
      </c>
      <c r="C406" s="67">
        <v>35464</v>
      </c>
      <c r="D406" s="67">
        <v>35492</v>
      </c>
      <c r="E406" s="67">
        <v>35493</v>
      </c>
      <c r="F406" t="s">
        <v>243</v>
      </c>
      <c r="G406">
        <v>73.83</v>
      </c>
      <c r="H406" t="s">
        <v>174</v>
      </c>
      <c r="I406" t="s">
        <v>175</v>
      </c>
    </row>
    <row r="407" spans="1:9">
      <c r="A407">
        <v>10439</v>
      </c>
      <c r="B407" t="s">
        <v>171</v>
      </c>
      <c r="C407" s="67">
        <v>35468</v>
      </c>
      <c r="D407" s="67">
        <v>35496</v>
      </c>
      <c r="E407" s="67">
        <v>35471</v>
      </c>
      <c r="F407" t="s">
        <v>243</v>
      </c>
      <c r="G407">
        <v>4.07</v>
      </c>
      <c r="H407" t="s">
        <v>171</v>
      </c>
      <c r="I407" t="s">
        <v>172</v>
      </c>
    </row>
    <row r="408" spans="1:9">
      <c r="A408">
        <v>10444</v>
      </c>
      <c r="B408" t="s">
        <v>147</v>
      </c>
      <c r="C408" s="67">
        <v>35473</v>
      </c>
      <c r="D408" s="67">
        <v>35501</v>
      </c>
      <c r="E408" s="67">
        <v>35482</v>
      </c>
      <c r="F408" t="s">
        <v>243</v>
      </c>
      <c r="G408">
        <v>3.5</v>
      </c>
      <c r="H408" t="s">
        <v>147</v>
      </c>
      <c r="I408" t="s">
        <v>148</v>
      </c>
    </row>
    <row r="409" spans="1:9">
      <c r="A409">
        <v>10451</v>
      </c>
      <c r="B409" t="s">
        <v>151</v>
      </c>
      <c r="C409" s="67">
        <v>35480</v>
      </c>
      <c r="D409" s="67">
        <v>35494</v>
      </c>
      <c r="E409" s="67">
        <v>35501</v>
      </c>
      <c r="F409" t="s">
        <v>243</v>
      </c>
      <c r="G409">
        <v>189.09</v>
      </c>
      <c r="H409" t="s">
        <v>151</v>
      </c>
      <c r="I409" t="s">
        <v>150</v>
      </c>
    </row>
    <row r="410" spans="1:9">
      <c r="A410">
        <v>10454</v>
      </c>
      <c r="B410" t="s">
        <v>178</v>
      </c>
      <c r="C410" s="67">
        <v>35482</v>
      </c>
      <c r="D410" s="67">
        <v>35510</v>
      </c>
      <c r="E410" s="67">
        <v>35486</v>
      </c>
      <c r="F410" t="s">
        <v>243</v>
      </c>
      <c r="G410">
        <v>2.74</v>
      </c>
      <c r="H410" t="s">
        <v>178</v>
      </c>
      <c r="I410" t="s">
        <v>154</v>
      </c>
    </row>
    <row r="411" spans="1:9">
      <c r="A411">
        <v>10458</v>
      </c>
      <c r="B411" t="s">
        <v>138</v>
      </c>
      <c r="C411" s="67">
        <v>35487</v>
      </c>
      <c r="D411" s="67">
        <v>35515</v>
      </c>
      <c r="E411" s="67">
        <v>35493</v>
      </c>
      <c r="F411" t="s">
        <v>243</v>
      </c>
      <c r="G411">
        <v>147.06</v>
      </c>
      <c r="H411" t="s">
        <v>138</v>
      </c>
      <c r="I411" t="s">
        <v>139</v>
      </c>
    </row>
    <row r="412" spans="1:9">
      <c r="A412">
        <v>10461</v>
      </c>
      <c r="B412" t="s">
        <v>211</v>
      </c>
      <c r="C412" s="67">
        <v>35489</v>
      </c>
      <c r="D412" s="67">
        <v>35517</v>
      </c>
      <c r="E412" s="67">
        <v>35494</v>
      </c>
      <c r="F412" t="s">
        <v>243</v>
      </c>
      <c r="G412">
        <v>148.61</v>
      </c>
      <c r="H412" t="s">
        <v>211</v>
      </c>
      <c r="I412" t="s">
        <v>208</v>
      </c>
    </row>
    <row r="413" spans="1:9">
      <c r="A413">
        <v>10463</v>
      </c>
      <c r="B413" t="s">
        <v>138</v>
      </c>
      <c r="C413" s="67">
        <v>35493</v>
      </c>
      <c r="D413" s="67">
        <v>35521</v>
      </c>
      <c r="E413" s="67">
        <v>35495</v>
      </c>
      <c r="F413" t="s">
        <v>243</v>
      </c>
      <c r="G413">
        <v>14.78</v>
      </c>
      <c r="H413" t="s">
        <v>138</v>
      </c>
      <c r="I413" t="s">
        <v>139</v>
      </c>
    </row>
    <row r="414" spans="1:9">
      <c r="A414">
        <v>10465</v>
      </c>
      <c r="B414" t="s">
        <v>221</v>
      </c>
      <c r="C414" s="67">
        <v>35494</v>
      </c>
      <c r="D414" s="67">
        <v>35522</v>
      </c>
      <c r="E414" s="67">
        <v>35503</v>
      </c>
      <c r="F414" t="s">
        <v>243</v>
      </c>
      <c r="G414">
        <v>145.04</v>
      </c>
      <c r="H414" t="s">
        <v>221</v>
      </c>
      <c r="I414" t="s">
        <v>222</v>
      </c>
    </row>
    <row r="415" spans="1:9">
      <c r="A415">
        <v>10468</v>
      </c>
      <c r="B415" t="s">
        <v>202</v>
      </c>
      <c r="C415" s="67">
        <v>35496</v>
      </c>
      <c r="D415" s="67">
        <v>35524</v>
      </c>
      <c r="E415" s="67">
        <v>35501</v>
      </c>
      <c r="F415" t="s">
        <v>243</v>
      </c>
      <c r="G415">
        <v>44.12</v>
      </c>
      <c r="H415" t="s">
        <v>202</v>
      </c>
      <c r="I415" t="s">
        <v>150</v>
      </c>
    </row>
    <row r="416" spans="1:9">
      <c r="A416">
        <v>10471</v>
      </c>
      <c r="B416" t="s">
        <v>236</v>
      </c>
      <c r="C416" s="67">
        <v>35500</v>
      </c>
      <c r="D416" s="67">
        <v>35528</v>
      </c>
      <c r="E416" s="67">
        <v>35507</v>
      </c>
      <c r="F416" t="s">
        <v>243</v>
      </c>
      <c r="G416">
        <v>45.59</v>
      </c>
      <c r="H416" t="s">
        <v>236</v>
      </c>
      <c r="I416" t="s">
        <v>169</v>
      </c>
    </row>
    <row r="417" spans="1:9">
      <c r="A417">
        <v>10473</v>
      </c>
      <c r="B417" t="s">
        <v>168</v>
      </c>
      <c r="C417" s="67">
        <v>35502</v>
      </c>
      <c r="D417" s="67">
        <v>35516</v>
      </c>
      <c r="E417" s="67">
        <v>35510</v>
      </c>
      <c r="F417" t="s">
        <v>243</v>
      </c>
      <c r="G417">
        <v>16.37</v>
      </c>
      <c r="H417" t="s">
        <v>168</v>
      </c>
      <c r="I417" t="s">
        <v>169</v>
      </c>
    </row>
    <row r="418" spans="1:9">
      <c r="A418">
        <v>10476</v>
      </c>
      <c r="B418" t="s">
        <v>209</v>
      </c>
      <c r="C418" s="67">
        <v>35506</v>
      </c>
      <c r="D418" s="67">
        <v>35534</v>
      </c>
      <c r="E418" s="67">
        <v>35513</v>
      </c>
      <c r="F418" t="s">
        <v>243</v>
      </c>
      <c r="G418">
        <v>4.41</v>
      </c>
      <c r="H418" t="s">
        <v>209</v>
      </c>
      <c r="I418" t="s">
        <v>208</v>
      </c>
    </row>
    <row r="419" spans="1:9">
      <c r="A419">
        <v>10478</v>
      </c>
      <c r="B419" t="s">
        <v>173</v>
      </c>
      <c r="C419" s="67">
        <v>35507</v>
      </c>
      <c r="D419" s="67">
        <v>35521</v>
      </c>
      <c r="E419" s="67">
        <v>35515</v>
      </c>
      <c r="F419" t="s">
        <v>243</v>
      </c>
      <c r="G419">
        <v>4.81</v>
      </c>
      <c r="H419" t="s">
        <v>173</v>
      </c>
      <c r="I419" t="s">
        <v>154</v>
      </c>
    </row>
    <row r="420" spans="1:9">
      <c r="A420">
        <v>10479</v>
      </c>
      <c r="B420" t="s">
        <v>146</v>
      </c>
      <c r="C420" s="67">
        <v>35508</v>
      </c>
      <c r="D420" s="67">
        <v>35536</v>
      </c>
      <c r="E420" s="67">
        <v>35510</v>
      </c>
      <c r="F420" t="s">
        <v>243</v>
      </c>
      <c r="G420">
        <v>708.95</v>
      </c>
      <c r="H420" t="s">
        <v>146</v>
      </c>
      <c r="I420" t="s">
        <v>145</v>
      </c>
    </row>
    <row r="421" spans="1:9">
      <c r="A421">
        <v>10482</v>
      </c>
      <c r="B421" t="s">
        <v>217</v>
      </c>
      <c r="C421" s="67">
        <v>35510</v>
      </c>
      <c r="D421" s="67">
        <v>35538</v>
      </c>
      <c r="E421" s="67">
        <v>35530</v>
      </c>
      <c r="F421" t="s">
        <v>243</v>
      </c>
      <c r="G421">
        <v>7.48</v>
      </c>
      <c r="H421" t="s">
        <v>217</v>
      </c>
      <c r="I421" t="s">
        <v>145</v>
      </c>
    </row>
    <row r="422" spans="1:9">
      <c r="A422">
        <v>10484</v>
      </c>
      <c r="B422" t="s">
        <v>236</v>
      </c>
      <c r="C422" s="67">
        <v>35513</v>
      </c>
      <c r="D422" s="67">
        <v>35541</v>
      </c>
      <c r="E422" s="67">
        <v>35521</v>
      </c>
      <c r="F422" t="s">
        <v>243</v>
      </c>
      <c r="G422">
        <v>6.88</v>
      </c>
      <c r="H422" t="s">
        <v>236</v>
      </c>
      <c r="I422" t="s">
        <v>169</v>
      </c>
    </row>
    <row r="423" spans="1:9">
      <c r="A423">
        <v>10491</v>
      </c>
      <c r="B423" t="s">
        <v>203</v>
      </c>
      <c r="C423" s="67">
        <v>35520</v>
      </c>
      <c r="D423" s="67">
        <v>35548</v>
      </c>
      <c r="E423" s="67">
        <v>35528</v>
      </c>
      <c r="F423" t="s">
        <v>243</v>
      </c>
      <c r="G423">
        <v>16.96</v>
      </c>
      <c r="H423" t="s">
        <v>203</v>
      </c>
      <c r="I423" t="s">
        <v>175</v>
      </c>
    </row>
    <row r="424" spans="1:9">
      <c r="A424">
        <v>10493</v>
      </c>
      <c r="B424" t="s">
        <v>178</v>
      </c>
      <c r="C424" s="67">
        <v>35522</v>
      </c>
      <c r="D424" s="67">
        <v>35550</v>
      </c>
      <c r="E424" s="67">
        <v>35530</v>
      </c>
      <c r="F424" t="s">
        <v>243</v>
      </c>
      <c r="G424">
        <v>10.64</v>
      </c>
      <c r="H424" t="s">
        <v>178</v>
      </c>
      <c r="I424" t="s">
        <v>154</v>
      </c>
    </row>
    <row r="425" spans="1:9">
      <c r="A425">
        <v>10495</v>
      </c>
      <c r="B425" t="s">
        <v>247</v>
      </c>
      <c r="C425" s="67">
        <v>35523</v>
      </c>
      <c r="D425" s="67">
        <v>35551</v>
      </c>
      <c r="E425" s="67">
        <v>35531</v>
      </c>
      <c r="F425" t="s">
        <v>243</v>
      </c>
      <c r="G425">
        <v>4.65</v>
      </c>
      <c r="H425" t="s">
        <v>247</v>
      </c>
      <c r="I425" t="s">
        <v>172</v>
      </c>
    </row>
    <row r="426" spans="1:9">
      <c r="A426">
        <v>10501</v>
      </c>
      <c r="B426" t="s">
        <v>220</v>
      </c>
      <c r="C426" s="67">
        <v>35529</v>
      </c>
      <c r="D426" s="67">
        <v>35557</v>
      </c>
      <c r="E426" s="67">
        <v>35536</v>
      </c>
      <c r="F426" t="s">
        <v>243</v>
      </c>
      <c r="G426">
        <v>8.85</v>
      </c>
      <c r="H426" t="s">
        <v>220</v>
      </c>
      <c r="I426" t="s">
        <v>150</v>
      </c>
    </row>
    <row r="427" spans="1:9">
      <c r="A427">
        <v>10504</v>
      </c>
      <c r="B427" t="s">
        <v>177</v>
      </c>
      <c r="C427" s="67">
        <v>35531</v>
      </c>
      <c r="D427" s="67">
        <v>35559</v>
      </c>
      <c r="E427" s="67">
        <v>35538</v>
      </c>
      <c r="F427" t="s">
        <v>243</v>
      </c>
      <c r="G427">
        <v>59.13</v>
      </c>
      <c r="H427" t="s">
        <v>177</v>
      </c>
      <c r="I427" t="s">
        <v>145</v>
      </c>
    </row>
    <row r="428" spans="1:9">
      <c r="A428">
        <v>10505</v>
      </c>
      <c r="B428" t="s">
        <v>171</v>
      </c>
      <c r="C428" s="67">
        <v>35534</v>
      </c>
      <c r="D428" s="67">
        <v>35562</v>
      </c>
      <c r="E428" s="67">
        <v>35541</v>
      </c>
      <c r="F428" t="s">
        <v>243</v>
      </c>
      <c r="G428">
        <v>7.13</v>
      </c>
      <c r="H428" t="s">
        <v>171</v>
      </c>
      <c r="I428" t="s">
        <v>172</v>
      </c>
    </row>
    <row r="429" spans="1:9">
      <c r="A429">
        <v>10510</v>
      </c>
      <c r="B429" t="s">
        <v>197</v>
      </c>
      <c r="C429" s="67">
        <v>35538</v>
      </c>
      <c r="D429" s="67">
        <v>35566</v>
      </c>
      <c r="E429" s="67">
        <v>35548</v>
      </c>
      <c r="F429" t="s">
        <v>243</v>
      </c>
      <c r="G429">
        <v>367.63</v>
      </c>
      <c r="H429" t="s">
        <v>197</v>
      </c>
      <c r="I429" t="s">
        <v>145</v>
      </c>
    </row>
    <row r="430" spans="1:9">
      <c r="A430">
        <v>10511</v>
      </c>
      <c r="B430" t="s">
        <v>204</v>
      </c>
      <c r="C430" s="67">
        <v>35538</v>
      </c>
      <c r="D430" s="67">
        <v>35566</v>
      </c>
      <c r="E430" s="67">
        <v>35541</v>
      </c>
      <c r="F430" t="s">
        <v>243</v>
      </c>
      <c r="G430">
        <v>350.64</v>
      </c>
      <c r="H430" t="s">
        <v>204</v>
      </c>
      <c r="I430" t="s">
        <v>154</v>
      </c>
    </row>
    <row r="431" spans="1:9">
      <c r="A431">
        <v>10516</v>
      </c>
      <c r="B431" t="s">
        <v>156</v>
      </c>
      <c r="C431" s="67">
        <v>35544</v>
      </c>
      <c r="D431" s="67">
        <v>35572</v>
      </c>
      <c r="E431" s="67">
        <v>35551</v>
      </c>
      <c r="F431" t="s">
        <v>243</v>
      </c>
      <c r="G431">
        <v>62.78</v>
      </c>
      <c r="H431" t="s">
        <v>156</v>
      </c>
      <c r="I431" t="s">
        <v>157</v>
      </c>
    </row>
    <row r="432" spans="1:9">
      <c r="A432">
        <v>10517</v>
      </c>
      <c r="B432" t="s">
        <v>248</v>
      </c>
      <c r="C432" s="67">
        <v>35544</v>
      </c>
      <c r="D432" s="67">
        <v>35572</v>
      </c>
      <c r="E432" s="67">
        <v>35549</v>
      </c>
      <c r="F432" t="s">
        <v>243</v>
      </c>
      <c r="G432">
        <v>32.07</v>
      </c>
      <c r="H432" t="s">
        <v>248</v>
      </c>
      <c r="I432" t="s">
        <v>169</v>
      </c>
    </row>
    <row r="433" spans="1:9">
      <c r="A433">
        <v>10519</v>
      </c>
      <c r="B433" t="s">
        <v>140</v>
      </c>
      <c r="C433" s="67">
        <v>35548</v>
      </c>
      <c r="D433" s="67">
        <v>35576</v>
      </c>
      <c r="E433" s="67">
        <v>35551</v>
      </c>
      <c r="F433" t="s">
        <v>243</v>
      </c>
      <c r="G433">
        <v>91.76</v>
      </c>
      <c r="H433" t="s">
        <v>140</v>
      </c>
      <c r="I433" t="s">
        <v>141</v>
      </c>
    </row>
    <row r="434" spans="1:9">
      <c r="A434">
        <v>10532</v>
      </c>
      <c r="B434" t="s">
        <v>240</v>
      </c>
      <c r="C434" s="67">
        <v>35559</v>
      </c>
      <c r="D434" s="67">
        <v>35587</v>
      </c>
      <c r="E434" s="67">
        <v>35562</v>
      </c>
      <c r="F434" t="s">
        <v>243</v>
      </c>
      <c r="G434">
        <v>74.46</v>
      </c>
      <c r="H434" t="s">
        <v>240</v>
      </c>
      <c r="I434" t="s">
        <v>169</v>
      </c>
    </row>
    <row r="435" spans="1:9">
      <c r="A435">
        <v>10538</v>
      </c>
      <c r="B435" t="s">
        <v>236</v>
      </c>
      <c r="C435" s="67">
        <v>35565</v>
      </c>
      <c r="D435" s="67">
        <v>35593</v>
      </c>
      <c r="E435" s="67">
        <v>35566</v>
      </c>
      <c r="F435" t="s">
        <v>243</v>
      </c>
      <c r="G435">
        <v>4.87</v>
      </c>
      <c r="H435" t="s">
        <v>236</v>
      </c>
      <c r="I435" t="s">
        <v>169</v>
      </c>
    </row>
    <row r="436" spans="1:9">
      <c r="A436">
        <v>10539</v>
      </c>
      <c r="B436" t="s">
        <v>236</v>
      </c>
      <c r="C436" s="67">
        <v>35566</v>
      </c>
      <c r="D436" s="67">
        <v>35594</v>
      </c>
      <c r="E436" s="67">
        <v>35573</v>
      </c>
      <c r="F436" t="s">
        <v>243</v>
      </c>
      <c r="G436">
        <v>12.36</v>
      </c>
      <c r="H436" t="s">
        <v>236</v>
      </c>
      <c r="I436" t="s">
        <v>169</v>
      </c>
    </row>
    <row r="437" spans="1:9">
      <c r="A437">
        <v>10540</v>
      </c>
      <c r="B437" t="s">
        <v>151</v>
      </c>
      <c r="C437" s="67">
        <v>35569</v>
      </c>
      <c r="D437" s="67">
        <v>35597</v>
      </c>
      <c r="E437" s="67">
        <v>35594</v>
      </c>
      <c r="F437" t="s">
        <v>243</v>
      </c>
      <c r="G437">
        <v>1007.64</v>
      </c>
      <c r="H437" t="s">
        <v>151</v>
      </c>
      <c r="I437" t="s">
        <v>150</v>
      </c>
    </row>
    <row r="438" spans="1:9">
      <c r="A438">
        <v>10542</v>
      </c>
      <c r="B438" t="s">
        <v>202</v>
      </c>
      <c r="C438" s="67">
        <v>35570</v>
      </c>
      <c r="D438" s="67">
        <v>35598</v>
      </c>
      <c r="E438" s="67">
        <v>35576</v>
      </c>
      <c r="F438" t="s">
        <v>243</v>
      </c>
      <c r="G438">
        <v>10.95</v>
      </c>
      <c r="H438" t="s">
        <v>202</v>
      </c>
      <c r="I438" t="s">
        <v>150</v>
      </c>
    </row>
    <row r="439" spans="1:9">
      <c r="A439">
        <v>10546</v>
      </c>
      <c r="B439" t="s">
        <v>173</v>
      </c>
      <c r="C439" s="67">
        <v>35573</v>
      </c>
      <c r="D439" s="67">
        <v>35601</v>
      </c>
      <c r="E439" s="67">
        <v>35577</v>
      </c>
      <c r="F439" t="s">
        <v>243</v>
      </c>
      <c r="G439">
        <v>194.72</v>
      </c>
      <c r="H439" t="s">
        <v>173</v>
      </c>
      <c r="I439" t="s">
        <v>154</v>
      </c>
    </row>
    <row r="440" spans="1:9">
      <c r="A440">
        <v>10550</v>
      </c>
      <c r="B440" t="s">
        <v>162</v>
      </c>
      <c r="C440" s="67">
        <v>35578</v>
      </c>
      <c r="D440" s="67">
        <v>35606</v>
      </c>
      <c r="E440" s="67">
        <v>35587</v>
      </c>
      <c r="F440" t="s">
        <v>243</v>
      </c>
      <c r="G440">
        <v>4.32</v>
      </c>
      <c r="H440" t="s">
        <v>162</v>
      </c>
      <c r="I440" t="s">
        <v>163</v>
      </c>
    </row>
    <row r="441" spans="1:9">
      <c r="A441">
        <v>10551</v>
      </c>
      <c r="B441" t="s">
        <v>203</v>
      </c>
      <c r="C441" s="67">
        <v>35578</v>
      </c>
      <c r="D441" s="67">
        <v>35620</v>
      </c>
      <c r="E441" s="67">
        <v>35587</v>
      </c>
      <c r="F441" t="s">
        <v>243</v>
      </c>
      <c r="G441">
        <v>72.95</v>
      </c>
      <c r="H441" t="s">
        <v>203</v>
      </c>
      <c r="I441" t="s">
        <v>175</v>
      </c>
    </row>
    <row r="442" spans="1:9">
      <c r="A442">
        <v>10554</v>
      </c>
      <c r="B442" t="s">
        <v>189</v>
      </c>
      <c r="C442" s="67">
        <v>35580</v>
      </c>
      <c r="D442" s="67">
        <v>35608</v>
      </c>
      <c r="E442" s="67">
        <v>35586</v>
      </c>
      <c r="F442" t="s">
        <v>243</v>
      </c>
      <c r="G442">
        <v>120.97</v>
      </c>
      <c r="H442" t="s">
        <v>189</v>
      </c>
      <c r="I442" t="s">
        <v>150</v>
      </c>
    </row>
    <row r="443" spans="1:9">
      <c r="A443">
        <v>10555</v>
      </c>
      <c r="B443" t="s">
        <v>197</v>
      </c>
      <c r="C443" s="67">
        <v>35583</v>
      </c>
      <c r="D443" s="67">
        <v>35611</v>
      </c>
      <c r="E443" s="67">
        <v>35585</v>
      </c>
      <c r="F443" t="s">
        <v>243</v>
      </c>
      <c r="G443">
        <v>252.49</v>
      </c>
      <c r="H443" t="s">
        <v>197</v>
      </c>
      <c r="I443" t="s">
        <v>145</v>
      </c>
    </row>
    <row r="444" spans="1:9">
      <c r="A444">
        <v>10564</v>
      </c>
      <c r="B444" t="s">
        <v>146</v>
      </c>
      <c r="C444" s="67">
        <v>35591</v>
      </c>
      <c r="D444" s="67">
        <v>35619</v>
      </c>
      <c r="E444" s="67">
        <v>35597</v>
      </c>
      <c r="F444" t="s">
        <v>243</v>
      </c>
      <c r="G444">
        <v>13.75</v>
      </c>
      <c r="H444" t="s">
        <v>146</v>
      </c>
      <c r="I444" t="s">
        <v>145</v>
      </c>
    </row>
    <row r="445" spans="1:9">
      <c r="A445">
        <v>10568</v>
      </c>
      <c r="B445" t="s">
        <v>180</v>
      </c>
      <c r="C445" s="67">
        <v>35594</v>
      </c>
      <c r="D445" s="67">
        <v>35622</v>
      </c>
      <c r="E445" s="67">
        <v>35620</v>
      </c>
      <c r="F445" t="s">
        <v>243</v>
      </c>
      <c r="G445">
        <v>6.54</v>
      </c>
      <c r="H445" t="s">
        <v>181</v>
      </c>
      <c r="I445" t="s">
        <v>163</v>
      </c>
    </row>
    <row r="446" spans="1:9">
      <c r="A446">
        <v>10570</v>
      </c>
      <c r="B446" t="s">
        <v>171</v>
      </c>
      <c r="C446" s="67">
        <v>35598</v>
      </c>
      <c r="D446" s="67">
        <v>35626</v>
      </c>
      <c r="E446" s="67">
        <v>35600</v>
      </c>
      <c r="F446" t="s">
        <v>243</v>
      </c>
      <c r="G446">
        <v>188.99</v>
      </c>
      <c r="H446" t="s">
        <v>171</v>
      </c>
      <c r="I446" t="s">
        <v>172</v>
      </c>
    </row>
    <row r="447" spans="1:9">
      <c r="A447">
        <v>10571</v>
      </c>
      <c r="B447" t="s">
        <v>182</v>
      </c>
      <c r="C447" s="67">
        <v>35598</v>
      </c>
      <c r="D447" s="67">
        <v>35640</v>
      </c>
      <c r="E447" s="67">
        <v>35615</v>
      </c>
      <c r="F447" t="s">
        <v>243</v>
      </c>
      <c r="G447">
        <v>26.06</v>
      </c>
      <c r="H447" t="s">
        <v>182</v>
      </c>
      <c r="I447" t="s">
        <v>183</v>
      </c>
    </row>
    <row r="448" spans="1:9">
      <c r="A448">
        <v>10573</v>
      </c>
      <c r="B448" t="s">
        <v>179</v>
      </c>
      <c r="C448" s="67">
        <v>35600</v>
      </c>
      <c r="D448" s="67">
        <v>35628</v>
      </c>
      <c r="E448" s="67">
        <v>35601</v>
      </c>
      <c r="F448" t="s">
        <v>243</v>
      </c>
      <c r="G448">
        <v>84.84</v>
      </c>
      <c r="H448" t="s">
        <v>179</v>
      </c>
      <c r="I448" t="s">
        <v>165</v>
      </c>
    </row>
    <row r="449" spans="1:9">
      <c r="A449">
        <v>10576</v>
      </c>
      <c r="B449" t="s">
        <v>164</v>
      </c>
      <c r="C449" s="67">
        <v>35604</v>
      </c>
      <c r="D449" s="67">
        <v>35618</v>
      </c>
      <c r="E449" s="67">
        <v>35611</v>
      </c>
      <c r="F449" t="s">
        <v>243</v>
      </c>
      <c r="G449">
        <v>18.56</v>
      </c>
      <c r="H449" t="s">
        <v>164</v>
      </c>
      <c r="I449" t="s">
        <v>165</v>
      </c>
    </row>
    <row r="450" spans="1:9">
      <c r="A450">
        <v>10578</v>
      </c>
      <c r="B450" t="s">
        <v>236</v>
      </c>
      <c r="C450" s="67">
        <v>35605</v>
      </c>
      <c r="D450" s="67">
        <v>35633</v>
      </c>
      <c r="E450" s="67">
        <v>35636</v>
      </c>
      <c r="F450" t="s">
        <v>243</v>
      </c>
      <c r="G450">
        <v>29.6</v>
      </c>
      <c r="H450" t="s">
        <v>236</v>
      </c>
      <c r="I450" t="s">
        <v>169</v>
      </c>
    </row>
    <row r="451" spans="1:9">
      <c r="A451">
        <v>10580</v>
      </c>
      <c r="B451" t="s">
        <v>189</v>
      </c>
      <c r="C451" s="67">
        <v>35607</v>
      </c>
      <c r="D451" s="67">
        <v>35635</v>
      </c>
      <c r="E451" s="67">
        <v>35612</v>
      </c>
      <c r="F451" t="s">
        <v>243</v>
      </c>
      <c r="G451">
        <v>75.89</v>
      </c>
      <c r="H451" t="s">
        <v>189</v>
      </c>
      <c r="I451" t="s">
        <v>150</v>
      </c>
    </row>
    <row r="452" spans="1:9">
      <c r="A452">
        <v>10588</v>
      </c>
      <c r="B452" t="s">
        <v>151</v>
      </c>
      <c r="C452" s="67">
        <v>35614</v>
      </c>
      <c r="D452" s="67">
        <v>35642</v>
      </c>
      <c r="E452" s="67">
        <v>35621</v>
      </c>
      <c r="F452" t="s">
        <v>243</v>
      </c>
      <c r="G452">
        <v>194.67</v>
      </c>
      <c r="H452" t="s">
        <v>151</v>
      </c>
      <c r="I452" t="s">
        <v>150</v>
      </c>
    </row>
    <row r="453" spans="1:9">
      <c r="A453">
        <v>10590</v>
      </c>
      <c r="B453" t="s">
        <v>171</v>
      </c>
      <c r="C453" s="67">
        <v>35618</v>
      </c>
      <c r="D453" s="67">
        <v>35646</v>
      </c>
      <c r="E453" s="67">
        <v>35625</v>
      </c>
      <c r="F453" t="s">
        <v>243</v>
      </c>
      <c r="G453">
        <v>44.77</v>
      </c>
      <c r="H453" t="s">
        <v>171</v>
      </c>
      <c r="I453" t="s">
        <v>172</v>
      </c>
    </row>
    <row r="454" spans="1:9">
      <c r="A454">
        <v>10597</v>
      </c>
      <c r="B454" t="s">
        <v>193</v>
      </c>
      <c r="C454" s="67">
        <v>35622</v>
      </c>
      <c r="D454" s="67">
        <v>35650</v>
      </c>
      <c r="E454" s="67">
        <v>35629</v>
      </c>
      <c r="F454" t="s">
        <v>243</v>
      </c>
      <c r="G454">
        <v>35.12</v>
      </c>
      <c r="H454" t="s">
        <v>193</v>
      </c>
      <c r="I454" t="s">
        <v>183</v>
      </c>
    </row>
    <row r="455" spans="1:9">
      <c r="A455">
        <v>10598</v>
      </c>
      <c r="B455" t="s">
        <v>146</v>
      </c>
      <c r="C455" s="67">
        <v>35625</v>
      </c>
      <c r="D455" s="67">
        <v>35653</v>
      </c>
      <c r="E455" s="67">
        <v>35629</v>
      </c>
      <c r="F455" t="s">
        <v>243</v>
      </c>
      <c r="G455">
        <v>44.42</v>
      </c>
      <c r="H455" t="s">
        <v>146</v>
      </c>
      <c r="I455" t="s">
        <v>145</v>
      </c>
    </row>
    <row r="456" spans="1:9">
      <c r="A456">
        <v>10599</v>
      </c>
      <c r="B456" t="s">
        <v>236</v>
      </c>
      <c r="C456" s="67">
        <v>35626</v>
      </c>
      <c r="D456" s="67">
        <v>35668</v>
      </c>
      <c r="E456" s="67">
        <v>35632</v>
      </c>
      <c r="F456" t="s">
        <v>243</v>
      </c>
      <c r="G456">
        <v>29.98</v>
      </c>
      <c r="H456" t="s">
        <v>236</v>
      </c>
      <c r="I456" t="s">
        <v>169</v>
      </c>
    </row>
    <row r="457" spans="1:9">
      <c r="A457">
        <v>10606</v>
      </c>
      <c r="B457" t="s">
        <v>152</v>
      </c>
      <c r="C457" s="67">
        <v>35633</v>
      </c>
      <c r="D457" s="67">
        <v>35661</v>
      </c>
      <c r="E457" s="67">
        <v>35642</v>
      </c>
      <c r="F457" t="s">
        <v>243</v>
      </c>
      <c r="G457">
        <v>79.4</v>
      </c>
      <c r="H457" t="s">
        <v>152</v>
      </c>
      <c r="I457" t="s">
        <v>137</v>
      </c>
    </row>
    <row r="458" spans="1:9">
      <c r="A458">
        <v>10614</v>
      </c>
      <c r="B458" t="s">
        <v>220</v>
      </c>
      <c r="C458" s="67">
        <v>35640</v>
      </c>
      <c r="D458" s="67">
        <v>35668</v>
      </c>
      <c r="E458" s="67">
        <v>35643</v>
      </c>
      <c r="F458" t="s">
        <v>243</v>
      </c>
      <c r="G458">
        <v>1.93</v>
      </c>
      <c r="H458" t="s">
        <v>220</v>
      </c>
      <c r="I458" t="s">
        <v>150</v>
      </c>
    </row>
    <row r="459" spans="1:9">
      <c r="A459">
        <v>10615</v>
      </c>
      <c r="B459" t="s">
        <v>242</v>
      </c>
      <c r="C459" s="67">
        <v>35641</v>
      </c>
      <c r="D459" s="67">
        <v>35669</v>
      </c>
      <c r="E459" s="67">
        <v>35648</v>
      </c>
      <c r="F459" t="s">
        <v>243</v>
      </c>
      <c r="G459">
        <v>0.75</v>
      </c>
      <c r="H459" t="s">
        <v>242</v>
      </c>
      <c r="I459" t="s">
        <v>191</v>
      </c>
    </row>
    <row r="460" spans="1:9">
      <c r="A460">
        <v>10619</v>
      </c>
      <c r="B460" t="s">
        <v>171</v>
      </c>
      <c r="C460" s="67">
        <v>35646</v>
      </c>
      <c r="D460" s="67">
        <v>35674</v>
      </c>
      <c r="E460" s="67">
        <v>35649</v>
      </c>
      <c r="F460" t="s">
        <v>243</v>
      </c>
      <c r="G460">
        <v>91.05</v>
      </c>
      <c r="H460" t="s">
        <v>171</v>
      </c>
      <c r="I460" t="s">
        <v>172</v>
      </c>
    </row>
    <row r="461" spans="1:9">
      <c r="A461">
        <v>10620</v>
      </c>
      <c r="B461" t="s">
        <v>247</v>
      </c>
      <c r="C461" s="67">
        <v>35647</v>
      </c>
      <c r="D461" s="67">
        <v>35675</v>
      </c>
      <c r="E461" s="67">
        <v>35656</v>
      </c>
      <c r="F461" t="s">
        <v>243</v>
      </c>
      <c r="G461">
        <v>0.94</v>
      </c>
      <c r="H461" t="s">
        <v>247</v>
      </c>
      <c r="I461" t="s">
        <v>172</v>
      </c>
    </row>
    <row r="462" spans="1:9">
      <c r="A462">
        <v>10622</v>
      </c>
      <c r="B462" t="s">
        <v>158</v>
      </c>
      <c r="C462" s="67">
        <v>35648</v>
      </c>
      <c r="D462" s="67">
        <v>35676</v>
      </c>
      <c r="E462" s="67">
        <v>35653</v>
      </c>
      <c r="F462" t="s">
        <v>243</v>
      </c>
      <c r="G462">
        <v>50.97</v>
      </c>
      <c r="H462" t="s">
        <v>158</v>
      </c>
      <c r="I462" t="s">
        <v>137</v>
      </c>
    </row>
    <row r="463" spans="1:9">
      <c r="A463">
        <v>10627</v>
      </c>
      <c r="B463" t="s">
        <v>197</v>
      </c>
      <c r="C463" s="67">
        <v>35653</v>
      </c>
      <c r="D463" s="67">
        <v>35695</v>
      </c>
      <c r="E463" s="67">
        <v>35663</v>
      </c>
      <c r="F463" t="s">
        <v>243</v>
      </c>
      <c r="G463">
        <v>107.46</v>
      </c>
      <c r="H463" t="s">
        <v>197</v>
      </c>
      <c r="I463" t="s">
        <v>145</v>
      </c>
    </row>
    <row r="464" spans="1:9">
      <c r="A464">
        <v>10628</v>
      </c>
      <c r="B464" t="s">
        <v>155</v>
      </c>
      <c r="C464" s="67">
        <v>35654</v>
      </c>
      <c r="D464" s="67">
        <v>35682</v>
      </c>
      <c r="E464" s="67">
        <v>35662</v>
      </c>
      <c r="F464" t="s">
        <v>243</v>
      </c>
      <c r="G464">
        <v>30.36</v>
      </c>
      <c r="H464" t="s">
        <v>155</v>
      </c>
      <c r="I464" t="s">
        <v>154</v>
      </c>
    </row>
    <row r="465" spans="1:9">
      <c r="A465">
        <v>10629</v>
      </c>
      <c r="B465" t="s">
        <v>162</v>
      </c>
      <c r="C465" s="67">
        <v>35654</v>
      </c>
      <c r="D465" s="67">
        <v>35682</v>
      </c>
      <c r="E465" s="67">
        <v>35662</v>
      </c>
      <c r="F465" t="s">
        <v>243</v>
      </c>
      <c r="G465">
        <v>85.46</v>
      </c>
      <c r="H465" t="s">
        <v>162</v>
      </c>
      <c r="I465" t="s">
        <v>163</v>
      </c>
    </row>
    <row r="466" spans="1:9">
      <c r="A466">
        <v>10633</v>
      </c>
      <c r="B466" t="s">
        <v>182</v>
      </c>
      <c r="C466" s="67">
        <v>35657</v>
      </c>
      <c r="D466" s="67">
        <v>35685</v>
      </c>
      <c r="E466" s="67">
        <v>35660</v>
      </c>
      <c r="F466" t="s">
        <v>243</v>
      </c>
      <c r="G466">
        <v>477.9</v>
      </c>
      <c r="H466" t="s">
        <v>182</v>
      </c>
      <c r="I466" t="s">
        <v>183</v>
      </c>
    </row>
    <row r="467" spans="1:9">
      <c r="A467">
        <v>10634</v>
      </c>
      <c r="B467" t="s">
        <v>206</v>
      </c>
      <c r="C467" s="67">
        <v>35657</v>
      </c>
      <c r="D467" s="67">
        <v>35685</v>
      </c>
      <c r="E467" s="67">
        <v>35663</v>
      </c>
      <c r="F467" t="s">
        <v>243</v>
      </c>
      <c r="G467">
        <v>487.38</v>
      </c>
      <c r="H467" t="s">
        <v>206</v>
      </c>
      <c r="I467" t="s">
        <v>154</v>
      </c>
    </row>
    <row r="468" spans="1:9">
      <c r="A468">
        <v>10635</v>
      </c>
      <c r="B468" t="s">
        <v>159</v>
      </c>
      <c r="C468" s="67">
        <v>35660</v>
      </c>
      <c r="D468" s="67">
        <v>35688</v>
      </c>
      <c r="E468" s="67">
        <v>35663</v>
      </c>
      <c r="F468" t="s">
        <v>243</v>
      </c>
      <c r="G468">
        <v>47.46</v>
      </c>
      <c r="H468" t="s">
        <v>159</v>
      </c>
      <c r="I468" t="s">
        <v>160</v>
      </c>
    </row>
    <row r="469" spans="1:9">
      <c r="A469">
        <v>10639</v>
      </c>
      <c r="B469" t="s">
        <v>186</v>
      </c>
      <c r="C469" s="67">
        <v>35662</v>
      </c>
      <c r="D469" s="67">
        <v>35690</v>
      </c>
      <c r="E469" s="67">
        <v>35669</v>
      </c>
      <c r="F469" t="s">
        <v>243</v>
      </c>
      <c r="G469">
        <v>38.64</v>
      </c>
      <c r="H469" t="s">
        <v>186</v>
      </c>
      <c r="I469" t="s">
        <v>187</v>
      </c>
    </row>
    <row r="470" spans="1:9">
      <c r="A470">
        <v>10642</v>
      </c>
      <c r="B470" t="s">
        <v>233</v>
      </c>
      <c r="C470" s="67">
        <v>35664</v>
      </c>
      <c r="D470" s="67">
        <v>35692</v>
      </c>
      <c r="E470" s="67">
        <v>35678</v>
      </c>
      <c r="F470" t="s">
        <v>243</v>
      </c>
      <c r="G470">
        <v>41.89</v>
      </c>
      <c r="H470" t="s">
        <v>233</v>
      </c>
      <c r="I470" t="s">
        <v>222</v>
      </c>
    </row>
    <row r="471" spans="1:9">
      <c r="A471">
        <v>10646</v>
      </c>
      <c r="B471" t="s">
        <v>156</v>
      </c>
      <c r="C471" s="67">
        <v>35669</v>
      </c>
      <c r="D471" s="67">
        <v>35711</v>
      </c>
      <c r="E471" s="67">
        <v>35676</v>
      </c>
      <c r="F471" t="s">
        <v>243</v>
      </c>
      <c r="G471">
        <v>142.33</v>
      </c>
      <c r="H471" t="s">
        <v>156</v>
      </c>
      <c r="I471" t="s">
        <v>157</v>
      </c>
    </row>
    <row r="472" spans="1:9">
      <c r="A472">
        <v>10649</v>
      </c>
      <c r="B472" t="s">
        <v>216</v>
      </c>
      <c r="C472" s="67">
        <v>35670</v>
      </c>
      <c r="D472" s="67">
        <v>35698</v>
      </c>
      <c r="E472" s="67">
        <v>35671</v>
      </c>
      <c r="F472" t="s">
        <v>243</v>
      </c>
      <c r="G472">
        <v>6.2</v>
      </c>
      <c r="H472" t="s">
        <v>216</v>
      </c>
      <c r="I472" t="s">
        <v>139</v>
      </c>
    </row>
    <row r="473" spans="1:9">
      <c r="A473">
        <v>10650</v>
      </c>
      <c r="B473" t="s">
        <v>212</v>
      </c>
      <c r="C473" s="67">
        <v>35671</v>
      </c>
      <c r="D473" s="67">
        <v>35699</v>
      </c>
      <c r="E473" s="67">
        <v>35676</v>
      </c>
      <c r="F473" t="s">
        <v>243</v>
      </c>
      <c r="G473">
        <v>176.81</v>
      </c>
      <c r="H473" t="s">
        <v>212</v>
      </c>
      <c r="I473" t="s">
        <v>137</v>
      </c>
    </row>
    <row r="474" spans="1:9">
      <c r="A474">
        <v>10661</v>
      </c>
      <c r="B474" t="s">
        <v>156</v>
      </c>
      <c r="C474" s="67">
        <v>35682</v>
      </c>
      <c r="D474" s="67">
        <v>35710</v>
      </c>
      <c r="E474" s="67">
        <v>35688</v>
      </c>
      <c r="F474" t="s">
        <v>243</v>
      </c>
      <c r="G474">
        <v>17.55</v>
      </c>
      <c r="H474" t="s">
        <v>156</v>
      </c>
      <c r="I474" t="s">
        <v>157</v>
      </c>
    </row>
    <row r="475" spans="1:9">
      <c r="A475">
        <v>10664</v>
      </c>
      <c r="B475" t="s">
        <v>203</v>
      </c>
      <c r="C475" s="67">
        <v>35683</v>
      </c>
      <c r="D475" s="67">
        <v>35711</v>
      </c>
      <c r="E475" s="67">
        <v>35692</v>
      </c>
      <c r="F475" t="s">
        <v>243</v>
      </c>
      <c r="G475">
        <v>1.27</v>
      </c>
      <c r="H475" t="s">
        <v>203</v>
      </c>
      <c r="I475" t="s">
        <v>175</v>
      </c>
    </row>
    <row r="476" spans="1:9">
      <c r="A476">
        <v>10677</v>
      </c>
      <c r="B476" t="s">
        <v>179</v>
      </c>
      <c r="C476" s="67">
        <v>35695</v>
      </c>
      <c r="D476" s="67">
        <v>35723</v>
      </c>
      <c r="E476" s="67">
        <v>35699</v>
      </c>
      <c r="F476" t="s">
        <v>243</v>
      </c>
      <c r="G476">
        <v>4.03</v>
      </c>
      <c r="H476" t="s">
        <v>179</v>
      </c>
      <c r="I476" t="s">
        <v>165</v>
      </c>
    </row>
    <row r="477" spans="1:9">
      <c r="A477">
        <v>10678</v>
      </c>
      <c r="B477" t="s">
        <v>197</v>
      </c>
      <c r="C477" s="67">
        <v>35696</v>
      </c>
      <c r="D477" s="67">
        <v>35724</v>
      </c>
      <c r="E477" s="67">
        <v>35719</v>
      </c>
      <c r="F477" t="s">
        <v>243</v>
      </c>
      <c r="G477">
        <v>388.98</v>
      </c>
      <c r="H477" t="s">
        <v>197</v>
      </c>
      <c r="I477" t="s">
        <v>145</v>
      </c>
    </row>
    <row r="478" spans="1:9">
      <c r="A478">
        <v>10679</v>
      </c>
      <c r="B478" t="s">
        <v>155</v>
      </c>
      <c r="C478" s="67">
        <v>35696</v>
      </c>
      <c r="D478" s="67">
        <v>35724</v>
      </c>
      <c r="E478" s="67">
        <v>35703</v>
      </c>
      <c r="F478" t="s">
        <v>243</v>
      </c>
      <c r="G478">
        <v>27.94</v>
      </c>
      <c r="H478" t="s">
        <v>155</v>
      </c>
      <c r="I478" t="s">
        <v>154</v>
      </c>
    </row>
    <row r="479" spans="1:9">
      <c r="A479">
        <v>10681</v>
      </c>
      <c r="B479" t="s">
        <v>215</v>
      </c>
      <c r="C479" s="67">
        <v>35698</v>
      </c>
      <c r="D479" s="67">
        <v>35726</v>
      </c>
      <c r="E479" s="67">
        <v>35703</v>
      </c>
      <c r="F479" t="s">
        <v>243</v>
      </c>
      <c r="G479">
        <v>76.13</v>
      </c>
      <c r="H479" t="s">
        <v>215</v>
      </c>
      <c r="I479" t="s">
        <v>145</v>
      </c>
    </row>
    <row r="480" spans="1:9">
      <c r="A480">
        <v>10693</v>
      </c>
      <c r="B480" t="s">
        <v>177</v>
      </c>
      <c r="C480" s="67">
        <v>35709</v>
      </c>
      <c r="D480" s="67">
        <v>35723</v>
      </c>
      <c r="E480" s="67">
        <v>35713</v>
      </c>
      <c r="F480" t="s">
        <v>243</v>
      </c>
      <c r="G480">
        <v>139.34</v>
      </c>
      <c r="H480" t="s">
        <v>177</v>
      </c>
      <c r="I480" t="s">
        <v>145</v>
      </c>
    </row>
    <row r="481" spans="1:9">
      <c r="A481">
        <v>10694</v>
      </c>
      <c r="B481" t="s">
        <v>151</v>
      </c>
      <c r="C481" s="67">
        <v>35709</v>
      </c>
      <c r="D481" s="67">
        <v>35737</v>
      </c>
      <c r="E481" s="67">
        <v>35712</v>
      </c>
      <c r="F481" t="s">
        <v>243</v>
      </c>
      <c r="G481">
        <v>398.36</v>
      </c>
      <c r="H481" t="s">
        <v>151</v>
      </c>
      <c r="I481" t="s">
        <v>150</v>
      </c>
    </row>
    <row r="482" spans="1:9">
      <c r="A482">
        <v>10696</v>
      </c>
      <c r="B482" t="s">
        <v>177</v>
      </c>
      <c r="C482" s="67">
        <v>35711</v>
      </c>
      <c r="D482" s="67">
        <v>35753</v>
      </c>
      <c r="E482" s="67">
        <v>35717</v>
      </c>
      <c r="F482" t="s">
        <v>243</v>
      </c>
      <c r="G482">
        <v>102.55</v>
      </c>
      <c r="H482" t="s">
        <v>177</v>
      </c>
      <c r="I482" t="s">
        <v>145</v>
      </c>
    </row>
    <row r="483" spans="1:9">
      <c r="A483">
        <v>10699</v>
      </c>
      <c r="B483" t="s">
        <v>231</v>
      </c>
      <c r="C483" s="67">
        <v>35712</v>
      </c>
      <c r="D483" s="67">
        <v>35740</v>
      </c>
      <c r="E483" s="67">
        <v>35716</v>
      </c>
      <c r="F483" t="s">
        <v>243</v>
      </c>
      <c r="G483">
        <v>0.58</v>
      </c>
      <c r="H483" t="s">
        <v>231</v>
      </c>
      <c r="I483" t="s">
        <v>150</v>
      </c>
    </row>
    <row r="484" spans="1:9">
      <c r="A484">
        <v>10701</v>
      </c>
      <c r="B484" t="s">
        <v>156</v>
      </c>
      <c r="C484" s="67">
        <v>35716</v>
      </c>
      <c r="D484" s="67">
        <v>35730</v>
      </c>
      <c r="E484" s="67">
        <v>35718</v>
      </c>
      <c r="F484" t="s">
        <v>243</v>
      </c>
      <c r="G484">
        <v>220.31</v>
      </c>
      <c r="H484" t="s">
        <v>156</v>
      </c>
      <c r="I484" t="s">
        <v>157</v>
      </c>
    </row>
    <row r="485" spans="1:9">
      <c r="A485">
        <v>10706</v>
      </c>
      <c r="B485" t="s">
        <v>198</v>
      </c>
      <c r="C485" s="67">
        <v>35719</v>
      </c>
      <c r="D485" s="67">
        <v>35747</v>
      </c>
      <c r="E485" s="67">
        <v>35724</v>
      </c>
      <c r="F485" t="s">
        <v>243</v>
      </c>
      <c r="G485">
        <v>135.63</v>
      </c>
      <c r="H485" t="s">
        <v>198</v>
      </c>
      <c r="I485" t="s">
        <v>145</v>
      </c>
    </row>
    <row r="486" spans="1:9">
      <c r="A486">
        <v>10707</v>
      </c>
      <c r="B486" t="s">
        <v>201</v>
      </c>
      <c r="C486" s="67">
        <v>35719</v>
      </c>
      <c r="D486" s="67">
        <v>35733</v>
      </c>
      <c r="E486" s="67">
        <v>35726</v>
      </c>
      <c r="F486" t="s">
        <v>243</v>
      </c>
      <c r="G486">
        <v>21.74</v>
      </c>
      <c r="H486" t="s">
        <v>201</v>
      </c>
      <c r="I486" t="s">
        <v>169</v>
      </c>
    </row>
    <row r="487" spans="1:9">
      <c r="A487">
        <v>10709</v>
      </c>
      <c r="B487" t="s">
        <v>228</v>
      </c>
      <c r="C487" s="67">
        <v>35720</v>
      </c>
      <c r="D487" s="67">
        <v>35748</v>
      </c>
      <c r="E487" s="67">
        <v>35754</v>
      </c>
      <c r="F487" t="s">
        <v>243</v>
      </c>
      <c r="G487">
        <v>210.8</v>
      </c>
      <c r="H487" t="s">
        <v>228</v>
      </c>
      <c r="I487" t="s">
        <v>137</v>
      </c>
    </row>
    <row r="488" spans="1:9">
      <c r="A488">
        <v>10714</v>
      </c>
      <c r="B488" t="s">
        <v>197</v>
      </c>
      <c r="C488" s="67">
        <v>35725</v>
      </c>
      <c r="D488" s="67">
        <v>35753</v>
      </c>
      <c r="E488" s="67">
        <v>35730</v>
      </c>
      <c r="F488" t="s">
        <v>243</v>
      </c>
      <c r="G488">
        <v>24.49</v>
      </c>
      <c r="H488" t="s">
        <v>197</v>
      </c>
      <c r="I488" t="s">
        <v>145</v>
      </c>
    </row>
    <row r="489" spans="1:9">
      <c r="A489">
        <v>10718</v>
      </c>
      <c r="B489" t="s">
        <v>202</v>
      </c>
      <c r="C489" s="67">
        <v>35730</v>
      </c>
      <c r="D489" s="67">
        <v>35758</v>
      </c>
      <c r="E489" s="67">
        <v>35732</v>
      </c>
      <c r="F489" t="s">
        <v>243</v>
      </c>
      <c r="G489">
        <v>170.88</v>
      </c>
      <c r="H489" t="s">
        <v>202</v>
      </c>
      <c r="I489" t="s">
        <v>150</v>
      </c>
    </row>
    <row r="490" spans="1:9">
      <c r="A490">
        <v>10721</v>
      </c>
      <c r="B490" t="s">
        <v>151</v>
      </c>
      <c r="C490" s="67">
        <v>35732</v>
      </c>
      <c r="D490" s="67">
        <v>35760</v>
      </c>
      <c r="E490" s="67">
        <v>35734</v>
      </c>
      <c r="F490" t="s">
        <v>243</v>
      </c>
      <c r="G490">
        <v>48.92</v>
      </c>
      <c r="H490" t="s">
        <v>151</v>
      </c>
      <c r="I490" t="s">
        <v>150</v>
      </c>
    </row>
    <row r="491" spans="1:9">
      <c r="A491">
        <v>10725</v>
      </c>
      <c r="B491" t="s">
        <v>212</v>
      </c>
      <c r="C491" s="67">
        <v>35734</v>
      </c>
      <c r="D491" s="67">
        <v>35762</v>
      </c>
      <c r="E491" s="67">
        <v>35739</v>
      </c>
      <c r="F491" t="s">
        <v>243</v>
      </c>
      <c r="G491">
        <v>10.83</v>
      </c>
      <c r="H491" t="s">
        <v>212</v>
      </c>
      <c r="I491" t="s">
        <v>137</v>
      </c>
    </row>
    <row r="492" spans="1:9">
      <c r="A492">
        <v>10729</v>
      </c>
      <c r="B492" t="s">
        <v>207</v>
      </c>
      <c r="C492" s="67">
        <v>35738</v>
      </c>
      <c r="D492" s="67">
        <v>35780</v>
      </c>
      <c r="E492" s="67">
        <v>35748</v>
      </c>
      <c r="F492" t="s">
        <v>243</v>
      </c>
      <c r="G492">
        <v>141.06</v>
      </c>
      <c r="H492" t="s">
        <v>207</v>
      </c>
      <c r="I492" t="s">
        <v>208</v>
      </c>
    </row>
    <row r="493" spans="1:9">
      <c r="A493">
        <v>10733</v>
      </c>
      <c r="B493" t="s">
        <v>147</v>
      </c>
      <c r="C493" s="67">
        <v>35741</v>
      </c>
      <c r="D493" s="67">
        <v>35769</v>
      </c>
      <c r="E493" s="67">
        <v>35744</v>
      </c>
      <c r="F493" t="s">
        <v>243</v>
      </c>
      <c r="G493">
        <v>110.11</v>
      </c>
      <c r="H493" t="s">
        <v>147</v>
      </c>
      <c r="I493" t="s">
        <v>148</v>
      </c>
    </row>
    <row r="494" spans="1:9">
      <c r="A494">
        <v>10734</v>
      </c>
      <c r="B494" t="s">
        <v>228</v>
      </c>
      <c r="C494" s="67">
        <v>35741</v>
      </c>
      <c r="D494" s="67">
        <v>35769</v>
      </c>
      <c r="E494" s="67">
        <v>35746</v>
      </c>
      <c r="F494" t="s">
        <v>243</v>
      </c>
      <c r="G494">
        <v>1.63</v>
      </c>
      <c r="H494" t="s">
        <v>228</v>
      </c>
      <c r="I494" t="s">
        <v>137</v>
      </c>
    </row>
    <row r="495" spans="1:9">
      <c r="A495">
        <v>10739</v>
      </c>
      <c r="B495" t="s">
        <v>153</v>
      </c>
      <c r="C495" s="67">
        <v>35746</v>
      </c>
      <c r="D495" s="67">
        <v>35774</v>
      </c>
      <c r="E495" s="67">
        <v>35751</v>
      </c>
      <c r="F495" t="s">
        <v>243</v>
      </c>
      <c r="G495">
        <v>11.08</v>
      </c>
      <c r="H495" t="s">
        <v>153</v>
      </c>
      <c r="I495" t="s">
        <v>154</v>
      </c>
    </row>
    <row r="496" spans="1:9">
      <c r="A496">
        <v>10741</v>
      </c>
      <c r="B496" t="s">
        <v>201</v>
      </c>
      <c r="C496" s="67">
        <v>35748</v>
      </c>
      <c r="D496" s="67">
        <v>35762</v>
      </c>
      <c r="E496" s="67">
        <v>35752</v>
      </c>
      <c r="F496" t="s">
        <v>243</v>
      </c>
      <c r="G496">
        <v>10.96</v>
      </c>
      <c r="H496" t="s">
        <v>201</v>
      </c>
      <c r="I496" t="s">
        <v>169</v>
      </c>
    </row>
    <row r="497" spans="1:9">
      <c r="A497">
        <v>10742</v>
      </c>
      <c r="B497" t="s">
        <v>188</v>
      </c>
      <c r="C497" s="67">
        <v>35748</v>
      </c>
      <c r="D497" s="67">
        <v>35776</v>
      </c>
      <c r="E497" s="67">
        <v>35752</v>
      </c>
      <c r="F497" t="s">
        <v>243</v>
      </c>
      <c r="G497">
        <v>243.73</v>
      </c>
      <c r="H497" t="s">
        <v>188</v>
      </c>
      <c r="I497" t="s">
        <v>172</v>
      </c>
    </row>
    <row r="498" spans="1:9">
      <c r="A498">
        <v>10746</v>
      </c>
      <c r="B498" t="s">
        <v>140</v>
      </c>
      <c r="C498" s="67">
        <v>35753</v>
      </c>
      <c r="D498" s="67">
        <v>35781</v>
      </c>
      <c r="E498" s="67">
        <v>35755</v>
      </c>
      <c r="F498" t="s">
        <v>243</v>
      </c>
      <c r="G498">
        <v>31.43</v>
      </c>
      <c r="H498" t="s">
        <v>140</v>
      </c>
      <c r="I498" t="s">
        <v>141</v>
      </c>
    </row>
    <row r="499" spans="1:9">
      <c r="A499">
        <v>10751</v>
      </c>
      <c r="B499" t="s">
        <v>192</v>
      </c>
      <c r="C499" s="67">
        <v>35758</v>
      </c>
      <c r="D499" s="67">
        <v>35786</v>
      </c>
      <c r="E499" s="67">
        <v>35767</v>
      </c>
      <c r="F499" t="s">
        <v>243</v>
      </c>
      <c r="G499">
        <v>130.79</v>
      </c>
      <c r="H499" t="s">
        <v>192</v>
      </c>
      <c r="I499" t="s">
        <v>141</v>
      </c>
    </row>
    <row r="500" spans="1:9">
      <c r="A500">
        <v>10752</v>
      </c>
      <c r="B500" t="s">
        <v>248</v>
      </c>
      <c r="C500" s="67">
        <v>35758</v>
      </c>
      <c r="D500" s="67">
        <v>35786</v>
      </c>
      <c r="E500" s="67">
        <v>35762</v>
      </c>
      <c r="F500" t="s">
        <v>243</v>
      </c>
      <c r="G500">
        <v>1.39</v>
      </c>
      <c r="H500" t="s">
        <v>248</v>
      </c>
      <c r="I500" t="s">
        <v>169</v>
      </c>
    </row>
    <row r="501" spans="1:9">
      <c r="A501">
        <v>10754</v>
      </c>
      <c r="B501" t="s">
        <v>159</v>
      </c>
      <c r="C501" s="67">
        <v>35759</v>
      </c>
      <c r="D501" s="67">
        <v>35787</v>
      </c>
      <c r="E501" s="67">
        <v>35761</v>
      </c>
      <c r="F501" t="s">
        <v>243</v>
      </c>
      <c r="G501">
        <v>2.38</v>
      </c>
      <c r="H501" t="s">
        <v>159</v>
      </c>
      <c r="I501" t="s">
        <v>160</v>
      </c>
    </row>
    <row r="502" spans="1:9">
      <c r="A502">
        <v>10758</v>
      </c>
      <c r="B502" t="s">
        <v>192</v>
      </c>
      <c r="C502" s="67">
        <v>35762</v>
      </c>
      <c r="D502" s="67">
        <v>35790</v>
      </c>
      <c r="E502" s="67">
        <v>35768</v>
      </c>
      <c r="F502" t="s">
        <v>243</v>
      </c>
      <c r="G502">
        <v>138.17</v>
      </c>
      <c r="H502" t="s">
        <v>192</v>
      </c>
      <c r="I502" t="s">
        <v>141</v>
      </c>
    </row>
    <row r="503" spans="1:9">
      <c r="A503">
        <v>10759</v>
      </c>
      <c r="B503" t="s">
        <v>246</v>
      </c>
      <c r="C503" s="67">
        <v>35762</v>
      </c>
      <c r="D503" s="67">
        <v>35790</v>
      </c>
      <c r="E503" s="67">
        <v>35776</v>
      </c>
      <c r="F503" t="s">
        <v>243</v>
      </c>
      <c r="G503">
        <v>11.99</v>
      </c>
      <c r="H503" t="s">
        <v>246</v>
      </c>
      <c r="I503" t="s">
        <v>165</v>
      </c>
    </row>
    <row r="504" spans="1:9">
      <c r="A504">
        <v>10763</v>
      </c>
      <c r="B504" t="s">
        <v>206</v>
      </c>
      <c r="C504" s="67">
        <v>35767</v>
      </c>
      <c r="D504" s="67">
        <v>35795</v>
      </c>
      <c r="E504" s="67">
        <v>35772</v>
      </c>
      <c r="F504" t="s">
        <v>243</v>
      </c>
      <c r="G504">
        <v>37.35</v>
      </c>
      <c r="H504" t="s">
        <v>206</v>
      </c>
      <c r="I504" t="s">
        <v>154</v>
      </c>
    </row>
    <row r="505" spans="1:9">
      <c r="A505">
        <v>10764</v>
      </c>
      <c r="B505" t="s">
        <v>182</v>
      </c>
      <c r="C505" s="67">
        <v>35767</v>
      </c>
      <c r="D505" s="67">
        <v>35795</v>
      </c>
      <c r="E505" s="67">
        <v>35772</v>
      </c>
      <c r="F505" t="s">
        <v>243</v>
      </c>
      <c r="G505">
        <v>145.45</v>
      </c>
      <c r="H505" t="s">
        <v>182</v>
      </c>
      <c r="I505" t="s">
        <v>183</v>
      </c>
    </row>
    <row r="506" spans="1:9">
      <c r="A506">
        <v>10765</v>
      </c>
      <c r="B506" t="s">
        <v>151</v>
      </c>
      <c r="C506" s="67">
        <v>35768</v>
      </c>
      <c r="D506" s="67">
        <v>35796</v>
      </c>
      <c r="E506" s="67">
        <v>35773</v>
      </c>
      <c r="F506" t="s">
        <v>243</v>
      </c>
      <c r="G506">
        <v>42.74</v>
      </c>
      <c r="H506" t="s">
        <v>151</v>
      </c>
      <c r="I506" t="s">
        <v>150</v>
      </c>
    </row>
    <row r="507" spans="1:9">
      <c r="A507">
        <v>10767</v>
      </c>
      <c r="B507" t="s">
        <v>138</v>
      </c>
      <c r="C507" s="67">
        <v>35769</v>
      </c>
      <c r="D507" s="67">
        <v>35797</v>
      </c>
      <c r="E507" s="67">
        <v>35779</v>
      </c>
      <c r="F507" t="s">
        <v>243</v>
      </c>
      <c r="G507">
        <v>1.59</v>
      </c>
      <c r="H507" t="s">
        <v>138</v>
      </c>
      <c r="I507" t="s">
        <v>139</v>
      </c>
    </row>
    <row r="508" spans="1:9">
      <c r="A508">
        <v>10770</v>
      </c>
      <c r="B508" t="s">
        <v>135</v>
      </c>
      <c r="C508" s="67">
        <v>35773</v>
      </c>
      <c r="D508" s="67">
        <v>35801</v>
      </c>
      <c r="E508" s="67">
        <v>35781</v>
      </c>
      <c r="F508" t="s">
        <v>243</v>
      </c>
      <c r="G508">
        <v>5.32</v>
      </c>
      <c r="H508" t="s">
        <v>135</v>
      </c>
      <c r="I508" t="s">
        <v>137</v>
      </c>
    </row>
    <row r="509" spans="1:9">
      <c r="A509">
        <v>10773</v>
      </c>
      <c r="B509" t="s">
        <v>182</v>
      </c>
      <c r="C509" s="67">
        <v>35775</v>
      </c>
      <c r="D509" s="67">
        <v>35803</v>
      </c>
      <c r="E509" s="67">
        <v>35780</v>
      </c>
      <c r="F509" t="s">
        <v>243</v>
      </c>
      <c r="G509">
        <v>96.43</v>
      </c>
      <c r="H509" t="s">
        <v>182</v>
      </c>
      <c r="I509" t="s">
        <v>183</v>
      </c>
    </row>
    <row r="510" spans="1:9">
      <c r="A510">
        <v>10776</v>
      </c>
      <c r="B510" t="s">
        <v>182</v>
      </c>
      <c r="C510" s="67">
        <v>35779</v>
      </c>
      <c r="D510" s="67">
        <v>35807</v>
      </c>
      <c r="E510" s="67">
        <v>35782</v>
      </c>
      <c r="F510" t="s">
        <v>243</v>
      </c>
      <c r="G510">
        <v>351.53</v>
      </c>
      <c r="H510" t="s">
        <v>182</v>
      </c>
      <c r="I510" t="s">
        <v>183</v>
      </c>
    </row>
    <row r="511" spans="1:9">
      <c r="A511">
        <v>10781</v>
      </c>
      <c r="B511" t="s">
        <v>190</v>
      </c>
      <c r="C511" s="67">
        <v>35781</v>
      </c>
      <c r="D511" s="67">
        <v>35809</v>
      </c>
      <c r="E511" s="67">
        <v>35783</v>
      </c>
      <c r="F511" t="s">
        <v>243</v>
      </c>
      <c r="G511">
        <v>73.16</v>
      </c>
      <c r="H511" t="s">
        <v>190</v>
      </c>
      <c r="I511" t="s">
        <v>191</v>
      </c>
    </row>
    <row r="512" spans="1:9">
      <c r="A512">
        <v>10782</v>
      </c>
      <c r="B512" t="s">
        <v>213</v>
      </c>
      <c r="C512" s="67">
        <v>35781</v>
      </c>
      <c r="D512" s="67">
        <v>35809</v>
      </c>
      <c r="E512" s="67">
        <v>35786</v>
      </c>
      <c r="F512" t="s">
        <v>243</v>
      </c>
      <c r="G512">
        <v>1.1</v>
      </c>
      <c r="H512" t="s">
        <v>213</v>
      </c>
      <c r="I512" t="s">
        <v>200</v>
      </c>
    </row>
    <row r="513" spans="1:9">
      <c r="A513">
        <v>10784</v>
      </c>
      <c r="B513" t="s">
        <v>159</v>
      </c>
      <c r="C513" s="67">
        <v>35782</v>
      </c>
      <c r="D513" s="67">
        <v>35810</v>
      </c>
      <c r="E513" s="67">
        <v>35786</v>
      </c>
      <c r="F513" t="s">
        <v>243</v>
      </c>
      <c r="G513">
        <v>70.09</v>
      </c>
      <c r="H513" t="s">
        <v>159</v>
      </c>
      <c r="I513" t="s">
        <v>160</v>
      </c>
    </row>
    <row r="514" spans="1:9">
      <c r="A514">
        <v>10785</v>
      </c>
      <c r="B514" t="s">
        <v>245</v>
      </c>
      <c r="C514" s="67">
        <v>35782</v>
      </c>
      <c r="D514" s="67">
        <v>35810</v>
      </c>
      <c r="E514" s="67">
        <v>35788</v>
      </c>
      <c r="F514" t="s">
        <v>243</v>
      </c>
      <c r="G514">
        <v>1.51</v>
      </c>
      <c r="H514" t="s">
        <v>245</v>
      </c>
      <c r="I514" t="s">
        <v>208</v>
      </c>
    </row>
    <row r="515" spans="1:9">
      <c r="A515">
        <v>10792</v>
      </c>
      <c r="B515" t="s">
        <v>224</v>
      </c>
      <c r="C515" s="67">
        <v>35787</v>
      </c>
      <c r="D515" s="67">
        <v>35815</v>
      </c>
      <c r="E515" s="67">
        <v>35795</v>
      </c>
      <c r="F515" t="s">
        <v>243</v>
      </c>
      <c r="G515">
        <v>23.79</v>
      </c>
      <c r="H515" t="s">
        <v>225</v>
      </c>
      <c r="I515" t="s">
        <v>226</v>
      </c>
    </row>
    <row r="516" spans="1:9">
      <c r="A516">
        <v>10793</v>
      </c>
      <c r="B516" t="s">
        <v>201</v>
      </c>
      <c r="C516" s="67">
        <v>35788</v>
      </c>
      <c r="D516" s="67">
        <v>35816</v>
      </c>
      <c r="E516" s="67">
        <v>35803</v>
      </c>
      <c r="F516" t="s">
        <v>243</v>
      </c>
      <c r="G516">
        <v>4.52</v>
      </c>
      <c r="H516" t="s">
        <v>201</v>
      </c>
      <c r="I516" t="s">
        <v>169</v>
      </c>
    </row>
    <row r="517" spans="1:9">
      <c r="A517">
        <v>10799</v>
      </c>
      <c r="B517" t="s">
        <v>202</v>
      </c>
      <c r="C517" s="67">
        <v>35790</v>
      </c>
      <c r="D517" s="67">
        <v>35832</v>
      </c>
      <c r="E517" s="67">
        <v>35800</v>
      </c>
      <c r="F517" t="s">
        <v>243</v>
      </c>
      <c r="G517">
        <v>30.76</v>
      </c>
      <c r="H517" t="s">
        <v>202</v>
      </c>
      <c r="I517" t="s">
        <v>150</v>
      </c>
    </row>
    <row r="518" spans="1:9">
      <c r="A518">
        <v>10800</v>
      </c>
      <c r="B518" t="s">
        <v>214</v>
      </c>
      <c r="C518" s="67">
        <v>35790</v>
      </c>
      <c r="D518" s="67">
        <v>35818</v>
      </c>
      <c r="E518" s="67">
        <v>35800</v>
      </c>
      <c r="F518" t="s">
        <v>243</v>
      </c>
      <c r="G518">
        <v>137.44</v>
      </c>
      <c r="H518" t="s">
        <v>214</v>
      </c>
      <c r="I518" t="s">
        <v>169</v>
      </c>
    </row>
    <row r="519" spans="1:9">
      <c r="A519">
        <v>10805</v>
      </c>
      <c r="B519" t="s">
        <v>167</v>
      </c>
      <c r="C519" s="67">
        <v>35794</v>
      </c>
      <c r="D519" s="67">
        <v>35822</v>
      </c>
      <c r="E519" s="67">
        <v>35804</v>
      </c>
      <c r="F519" t="s">
        <v>243</v>
      </c>
      <c r="G519">
        <v>237.34</v>
      </c>
      <c r="H519" t="s">
        <v>167</v>
      </c>
      <c r="I519" t="s">
        <v>145</v>
      </c>
    </row>
    <row r="520" spans="1:9">
      <c r="A520">
        <v>10808</v>
      </c>
      <c r="B520" t="s">
        <v>174</v>
      </c>
      <c r="C520" s="67">
        <v>35796</v>
      </c>
      <c r="D520" s="67">
        <v>35824</v>
      </c>
      <c r="E520" s="67">
        <v>35804</v>
      </c>
      <c r="F520" t="s">
        <v>243</v>
      </c>
      <c r="G520">
        <v>45.53</v>
      </c>
      <c r="H520" t="s">
        <v>198</v>
      </c>
      <c r="I520" t="s">
        <v>145</v>
      </c>
    </row>
    <row r="521" spans="1:9">
      <c r="A521">
        <v>10810</v>
      </c>
      <c r="B521" t="s">
        <v>247</v>
      </c>
      <c r="C521" s="67">
        <v>35796</v>
      </c>
      <c r="D521" s="67">
        <v>35824</v>
      </c>
      <c r="E521" s="67">
        <v>35802</v>
      </c>
      <c r="F521" t="s">
        <v>243</v>
      </c>
      <c r="G521">
        <v>4.33</v>
      </c>
      <c r="H521" t="s">
        <v>247</v>
      </c>
      <c r="I521" t="s">
        <v>172</v>
      </c>
    </row>
    <row r="522" spans="1:9">
      <c r="A522">
        <v>10814</v>
      </c>
      <c r="B522" t="s">
        <v>173</v>
      </c>
      <c r="C522" s="67">
        <v>35800</v>
      </c>
      <c r="D522" s="67">
        <v>35828</v>
      </c>
      <c r="E522" s="67">
        <v>35809</v>
      </c>
      <c r="F522" t="s">
        <v>243</v>
      </c>
      <c r="G522">
        <v>130.94</v>
      </c>
      <c r="H522" t="s">
        <v>173</v>
      </c>
      <c r="I522" t="s">
        <v>154</v>
      </c>
    </row>
    <row r="523" spans="1:9">
      <c r="A523">
        <v>10815</v>
      </c>
      <c r="B523" t="s">
        <v>197</v>
      </c>
      <c r="C523" s="67">
        <v>35800</v>
      </c>
      <c r="D523" s="67">
        <v>35828</v>
      </c>
      <c r="E523" s="67">
        <v>35809</v>
      </c>
      <c r="F523" t="s">
        <v>243</v>
      </c>
      <c r="G523">
        <v>14.62</v>
      </c>
      <c r="H523" t="s">
        <v>197</v>
      </c>
      <c r="I523" t="s">
        <v>145</v>
      </c>
    </row>
    <row r="524" spans="1:9">
      <c r="A524">
        <v>10818</v>
      </c>
      <c r="B524" t="s">
        <v>159</v>
      </c>
      <c r="C524" s="67">
        <v>35802</v>
      </c>
      <c r="D524" s="67">
        <v>35830</v>
      </c>
      <c r="E524" s="67">
        <v>35807</v>
      </c>
      <c r="F524" t="s">
        <v>243</v>
      </c>
      <c r="G524">
        <v>65.48</v>
      </c>
      <c r="H524" t="s">
        <v>159</v>
      </c>
      <c r="I524" t="s">
        <v>160</v>
      </c>
    </row>
    <row r="525" spans="1:9">
      <c r="A525">
        <v>10819</v>
      </c>
      <c r="B525" t="s">
        <v>213</v>
      </c>
      <c r="C525" s="67">
        <v>35802</v>
      </c>
      <c r="D525" s="67">
        <v>35830</v>
      </c>
      <c r="E525" s="67">
        <v>35811</v>
      </c>
      <c r="F525" t="s">
        <v>243</v>
      </c>
      <c r="G525">
        <v>19.76</v>
      </c>
      <c r="H525" t="s">
        <v>213</v>
      </c>
      <c r="I525" t="s">
        <v>200</v>
      </c>
    </row>
    <row r="526" spans="1:9">
      <c r="A526">
        <v>10822</v>
      </c>
      <c r="B526" t="s">
        <v>218</v>
      </c>
      <c r="C526" s="67">
        <v>35803</v>
      </c>
      <c r="D526" s="67">
        <v>35831</v>
      </c>
      <c r="E526" s="67">
        <v>35811</v>
      </c>
      <c r="F526" t="s">
        <v>243</v>
      </c>
      <c r="G526">
        <v>7</v>
      </c>
      <c r="H526" t="s">
        <v>218</v>
      </c>
      <c r="I526" t="s">
        <v>145</v>
      </c>
    </row>
    <row r="527" spans="1:9">
      <c r="A527">
        <v>10834</v>
      </c>
      <c r="B527" t="s">
        <v>152</v>
      </c>
      <c r="C527" s="67">
        <v>35810</v>
      </c>
      <c r="D527" s="67">
        <v>35838</v>
      </c>
      <c r="E527" s="67">
        <v>35814</v>
      </c>
      <c r="F527" t="s">
        <v>243</v>
      </c>
      <c r="G527">
        <v>29.78</v>
      </c>
      <c r="H527" t="s">
        <v>152</v>
      </c>
      <c r="I527" t="s">
        <v>137</v>
      </c>
    </row>
    <row r="528" spans="1:9">
      <c r="A528">
        <v>10835</v>
      </c>
      <c r="B528" t="s">
        <v>230</v>
      </c>
      <c r="C528" s="67">
        <v>35810</v>
      </c>
      <c r="D528" s="67">
        <v>35838</v>
      </c>
      <c r="E528" s="67">
        <v>35816</v>
      </c>
      <c r="F528" t="s">
        <v>243</v>
      </c>
      <c r="G528">
        <v>69.53</v>
      </c>
      <c r="H528" t="s">
        <v>230</v>
      </c>
      <c r="I528" t="s">
        <v>150</v>
      </c>
    </row>
    <row r="529" spans="1:9">
      <c r="A529">
        <v>10837</v>
      </c>
      <c r="B529" t="s">
        <v>147</v>
      </c>
      <c r="C529" s="67">
        <v>35811</v>
      </c>
      <c r="D529" s="67">
        <v>35839</v>
      </c>
      <c r="E529" s="67">
        <v>35818</v>
      </c>
      <c r="F529" t="s">
        <v>243</v>
      </c>
      <c r="G529">
        <v>13.32</v>
      </c>
      <c r="H529" t="s">
        <v>147</v>
      </c>
      <c r="I529" t="s">
        <v>148</v>
      </c>
    </row>
    <row r="530" spans="1:9">
      <c r="A530">
        <v>10838</v>
      </c>
      <c r="B530" t="s">
        <v>207</v>
      </c>
      <c r="C530" s="67">
        <v>35814</v>
      </c>
      <c r="D530" s="67">
        <v>35842</v>
      </c>
      <c r="E530" s="67">
        <v>35818</v>
      </c>
      <c r="F530" t="s">
        <v>243</v>
      </c>
      <c r="G530">
        <v>59.28</v>
      </c>
      <c r="H530" t="s">
        <v>207</v>
      </c>
      <c r="I530" t="s">
        <v>208</v>
      </c>
    </row>
    <row r="531" spans="1:9">
      <c r="A531">
        <v>10839</v>
      </c>
      <c r="B531" t="s">
        <v>152</v>
      </c>
      <c r="C531" s="67">
        <v>35814</v>
      </c>
      <c r="D531" s="67">
        <v>35842</v>
      </c>
      <c r="E531" s="67">
        <v>35817</v>
      </c>
      <c r="F531" t="s">
        <v>243</v>
      </c>
      <c r="G531">
        <v>35.43</v>
      </c>
      <c r="H531" t="s">
        <v>152</v>
      </c>
      <c r="I531" t="s">
        <v>137</v>
      </c>
    </row>
    <row r="532" spans="1:9">
      <c r="A532">
        <v>10842</v>
      </c>
      <c r="B532" t="s">
        <v>164</v>
      </c>
      <c r="C532" s="67">
        <v>35815</v>
      </c>
      <c r="D532" s="67">
        <v>35843</v>
      </c>
      <c r="E532" s="67">
        <v>35824</v>
      </c>
      <c r="F532" t="s">
        <v>243</v>
      </c>
      <c r="G532">
        <v>54.42</v>
      </c>
      <c r="H532" t="s">
        <v>164</v>
      </c>
      <c r="I532" t="s">
        <v>165</v>
      </c>
    </row>
    <row r="533" spans="1:9">
      <c r="A533">
        <v>10846</v>
      </c>
      <c r="B533" t="s">
        <v>138</v>
      </c>
      <c r="C533" s="67">
        <v>35817</v>
      </c>
      <c r="D533" s="67">
        <v>35859</v>
      </c>
      <c r="E533" s="67">
        <v>35818</v>
      </c>
      <c r="F533" t="s">
        <v>243</v>
      </c>
      <c r="G533">
        <v>56.46</v>
      </c>
      <c r="H533" t="s">
        <v>138</v>
      </c>
      <c r="I533" t="s">
        <v>139</v>
      </c>
    </row>
    <row r="534" spans="1:9">
      <c r="A534">
        <v>10847</v>
      </c>
      <c r="B534" t="s">
        <v>197</v>
      </c>
      <c r="C534" s="67">
        <v>35817</v>
      </c>
      <c r="D534" s="67">
        <v>35831</v>
      </c>
      <c r="E534" s="67">
        <v>35836</v>
      </c>
      <c r="F534" t="s">
        <v>243</v>
      </c>
      <c r="G534">
        <v>487.57</v>
      </c>
      <c r="H534" t="s">
        <v>197</v>
      </c>
      <c r="I534" t="s">
        <v>145</v>
      </c>
    </row>
    <row r="535" spans="1:9">
      <c r="A535">
        <v>10860</v>
      </c>
      <c r="B535" t="s">
        <v>238</v>
      </c>
      <c r="C535" s="67">
        <v>35824</v>
      </c>
      <c r="D535" s="67">
        <v>35852</v>
      </c>
      <c r="E535" s="67">
        <v>35830</v>
      </c>
      <c r="F535" t="s">
        <v>243</v>
      </c>
      <c r="G535">
        <v>19.26</v>
      </c>
      <c r="H535" t="s">
        <v>238</v>
      </c>
      <c r="I535" t="s">
        <v>154</v>
      </c>
    </row>
    <row r="536" spans="1:9">
      <c r="A536">
        <v>10870</v>
      </c>
      <c r="B536" t="s">
        <v>224</v>
      </c>
      <c r="C536" s="67">
        <v>35830</v>
      </c>
      <c r="D536" s="67">
        <v>35858</v>
      </c>
      <c r="E536" s="67">
        <v>35839</v>
      </c>
      <c r="F536" t="s">
        <v>243</v>
      </c>
      <c r="G536">
        <v>12.04</v>
      </c>
      <c r="H536" t="s">
        <v>225</v>
      </c>
      <c r="I536" t="s">
        <v>226</v>
      </c>
    </row>
    <row r="537" spans="1:9">
      <c r="A537">
        <v>10876</v>
      </c>
      <c r="B537" t="s">
        <v>204</v>
      </c>
      <c r="C537" s="67">
        <v>35835</v>
      </c>
      <c r="D537" s="67">
        <v>35863</v>
      </c>
      <c r="E537" s="67">
        <v>35838</v>
      </c>
      <c r="F537" t="s">
        <v>243</v>
      </c>
      <c r="G537">
        <v>60.42</v>
      </c>
      <c r="H537" t="s">
        <v>204</v>
      </c>
      <c r="I537" t="s">
        <v>154</v>
      </c>
    </row>
    <row r="538" spans="1:9">
      <c r="A538">
        <v>10879</v>
      </c>
      <c r="B538" t="s">
        <v>242</v>
      </c>
      <c r="C538" s="67">
        <v>35836</v>
      </c>
      <c r="D538" s="67">
        <v>35864</v>
      </c>
      <c r="E538" s="67">
        <v>35838</v>
      </c>
      <c r="F538" t="s">
        <v>243</v>
      </c>
      <c r="G538">
        <v>8.5</v>
      </c>
      <c r="H538" t="s">
        <v>242</v>
      </c>
      <c r="I538" t="s">
        <v>191</v>
      </c>
    </row>
    <row r="539" spans="1:9">
      <c r="A539">
        <v>10882</v>
      </c>
      <c r="B539" t="s">
        <v>197</v>
      </c>
      <c r="C539" s="67">
        <v>35837</v>
      </c>
      <c r="D539" s="67">
        <v>35865</v>
      </c>
      <c r="E539" s="67">
        <v>35846</v>
      </c>
      <c r="F539" t="s">
        <v>243</v>
      </c>
      <c r="G539">
        <v>23.1</v>
      </c>
      <c r="H539" t="s">
        <v>197</v>
      </c>
      <c r="I539" t="s">
        <v>145</v>
      </c>
    </row>
    <row r="540" spans="1:9">
      <c r="A540">
        <v>10883</v>
      </c>
      <c r="B540" t="s">
        <v>166</v>
      </c>
      <c r="C540" s="67">
        <v>35838</v>
      </c>
      <c r="D540" s="67">
        <v>35866</v>
      </c>
      <c r="E540" s="67">
        <v>35846</v>
      </c>
      <c r="F540" t="s">
        <v>243</v>
      </c>
      <c r="G540">
        <v>0.53</v>
      </c>
      <c r="H540" t="s">
        <v>166</v>
      </c>
      <c r="I540" t="s">
        <v>145</v>
      </c>
    </row>
    <row r="541" spans="1:9">
      <c r="A541">
        <v>10885</v>
      </c>
      <c r="B541" t="s">
        <v>138</v>
      </c>
      <c r="C541" s="67">
        <v>35838</v>
      </c>
      <c r="D541" s="67">
        <v>35866</v>
      </c>
      <c r="E541" s="67">
        <v>35844</v>
      </c>
      <c r="F541" t="s">
        <v>243</v>
      </c>
      <c r="G541">
        <v>5.64</v>
      </c>
      <c r="H541" t="s">
        <v>138</v>
      </c>
      <c r="I541" t="s">
        <v>139</v>
      </c>
    </row>
    <row r="542" spans="1:9">
      <c r="A542">
        <v>10887</v>
      </c>
      <c r="B542" t="s">
        <v>180</v>
      </c>
      <c r="C542" s="67">
        <v>35839</v>
      </c>
      <c r="D542" s="67">
        <v>35867</v>
      </c>
      <c r="E542" s="67">
        <v>35842</v>
      </c>
      <c r="F542" t="s">
        <v>243</v>
      </c>
      <c r="G542">
        <v>1.25</v>
      </c>
      <c r="H542" t="s">
        <v>181</v>
      </c>
      <c r="I542" t="s">
        <v>163</v>
      </c>
    </row>
    <row r="543" spans="1:9">
      <c r="A543">
        <v>10889</v>
      </c>
      <c r="B543" t="s">
        <v>146</v>
      </c>
      <c r="C543" s="67">
        <v>35842</v>
      </c>
      <c r="D543" s="67">
        <v>35870</v>
      </c>
      <c r="E543" s="67">
        <v>35849</v>
      </c>
      <c r="F543" t="s">
        <v>243</v>
      </c>
      <c r="G543">
        <v>280.61</v>
      </c>
      <c r="H543" t="s">
        <v>146</v>
      </c>
      <c r="I543" t="s">
        <v>145</v>
      </c>
    </row>
    <row r="544" spans="1:9">
      <c r="A544">
        <v>10896</v>
      </c>
      <c r="B544" t="s">
        <v>216</v>
      </c>
      <c r="C544" s="67">
        <v>35845</v>
      </c>
      <c r="D544" s="67">
        <v>35873</v>
      </c>
      <c r="E544" s="67">
        <v>35853</v>
      </c>
      <c r="F544" t="s">
        <v>243</v>
      </c>
      <c r="G544">
        <v>32.45</v>
      </c>
      <c r="H544" t="s">
        <v>216</v>
      </c>
      <c r="I544" t="s">
        <v>139</v>
      </c>
    </row>
    <row r="545" spans="1:9">
      <c r="A545">
        <v>10899</v>
      </c>
      <c r="B545" t="s">
        <v>211</v>
      </c>
      <c r="C545" s="67">
        <v>35846</v>
      </c>
      <c r="D545" s="67">
        <v>35874</v>
      </c>
      <c r="E545" s="67">
        <v>35852</v>
      </c>
      <c r="F545" t="s">
        <v>243</v>
      </c>
      <c r="G545">
        <v>1.21</v>
      </c>
      <c r="H545" t="s">
        <v>211</v>
      </c>
      <c r="I545" t="s">
        <v>208</v>
      </c>
    </row>
    <row r="546" spans="1:9">
      <c r="A546">
        <v>10903</v>
      </c>
      <c r="B546" t="s">
        <v>135</v>
      </c>
      <c r="C546" s="67">
        <v>35850</v>
      </c>
      <c r="D546" s="67">
        <v>35878</v>
      </c>
      <c r="E546" s="67">
        <v>35858</v>
      </c>
      <c r="F546" t="s">
        <v>243</v>
      </c>
      <c r="G546">
        <v>36.71</v>
      </c>
      <c r="H546" t="s">
        <v>135</v>
      </c>
      <c r="I546" t="s">
        <v>137</v>
      </c>
    </row>
    <row r="547" spans="1:9">
      <c r="A547">
        <v>10904</v>
      </c>
      <c r="B547" t="s">
        <v>177</v>
      </c>
      <c r="C547" s="67">
        <v>35850</v>
      </c>
      <c r="D547" s="67">
        <v>35878</v>
      </c>
      <c r="E547" s="67">
        <v>35853</v>
      </c>
      <c r="F547" t="s">
        <v>243</v>
      </c>
      <c r="G547">
        <v>162.95</v>
      </c>
      <c r="H547" t="s">
        <v>177</v>
      </c>
      <c r="I547" t="s">
        <v>145</v>
      </c>
    </row>
    <row r="548" spans="1:9">
      <c r="A548">
        <v>10906</v>
      </c>
      <c r="B548" t="s">
        <v>224</v>
      </c>
      <c r="C548" s="67">
        <v>35851</v>
      </c>
      <c r="D548" s="67">
        <v>35865</v>
      </c>
      <c r="E548" s="67">
        <v>35857</v>
      </c>
      <c r="F548" t="s">
        <v>243</v>
      </c>
      <c r="G548">
        <v>26.29</v>
      </c>
      <c r="H548" t="s">
        <v>225</v>
      </c>
      <c r="I548" t="s">
        <v>226</v>
      </c>
    </row>
    <row r="549" spans="1:9">
      <c r="A549">
        <v>10907</v>
      </c>
      <c r="B549" t="s">
        <v>237</v>
      </c>
      <c r="C549" s="67">
        <v>35851</v>
      </c>
      <c r="D549" s="67">
        <v>35879</v>
      </c>
      <c r="E549" s="67">
        <v>35853</v>
      </c>
      <c r="F549" t="s">
        <v>243</v>
      </c>
      <c r="G549">
        <v>9.19</v>
      </c>
      <c r="H549" t="s">
        <v>237</v>
      </c>
      <c r="I549" t="s">
        <v>154</v>
      </c>
    </row>
    <row r="550" spans="1:9">
      <c r="A550">
        <v>10910</v>
      </c>
      <c r="B550" t="s">
        <v>242</v>
      </c>
      <c r="C550" s="67">
        <v>35852</v>
      </c>
      <c r="D550" s="67">
        <v>35880</v>
      </c>
      <c r="E550" s="67">
        <v>35858</v>
      </c>
      <c r="F550" t="s">
        <v>243</v>
      </c>
      <c r="G550">
        <v>38.11</v>
      </c>
      <c r="H550" t="s">
        <v>242</v>
      </c>
      <c r="I550" t="s">
        <v>191</v>
      </c>
    </row>
    <row r="551" spans="1:9">
      <c r="A551">
        <v>10918</v>
      </c>
      <c r="B551" t="s">
        <v>188</v>
      </c>
      <c r="C551" s="67">
        <v>35856</v>
      </c>
      <c r="D551" s="67">
        <v>35884</v>
      </c>
      <c r="E551" s="67">
        <v>35865</v>
      </c>
      <c r="F551" t="s">
        <v>243</v>
      </c>
      <c r="G551">
        <v>48.83</v>
      </c>
      <c r="H551" t="s">
        <v>188</v>
      </c>
      <c r="I551" t="s">
        <v>172</v>
      </c>
    </row>
    <row r="552" spans="1:9">
      <c r="A552">
        <v>10922</v>
      </c>
      <c r="B552" t="s">
        <v>135</v>
      </c>
      <c r="C552" s="67">
        <v>35857</v>
      </c>
      <c r="D552" s="67">
        <v>35885</v>
      </c>
      <c r="E552" s="67">
        <v>35859</v>
      </c>
      <c r="F552" t="s">
        <v>243</v>
      </c>
      <c r="G552">
        <v>62.74</v>
      </c>
      <c r="H552" t="s">
        <v>135</v>
      </c>
      <c r="I552" t="s">
        <v>137</v>
      </c>
    </row>
    <row r="553" spans="1:9">
      <c r="A553">
        <v>10923</v>
      </c>
      <c r="B553" t="s">
        <v>178</v>
      </c>
      <c r="C553" s="67">
        <v>35857</v>
      </c>
      <c r="D553" s="67">
        <v>35899</v>
      </c>
      <c r="E553" s="67">
        <v>35867</v>
      </c>
      <c r="F553" t="s">
        <v>243</v>
      </c>
      <c r="G553">
        <v>68.26</v>
      </c>
      <c r="H553" t="s">
        <v>178</v>
      </c>
      <c r="I553" t="s">
        <v>154</v>
      </c>
    </row>
    <row r="554" spans="1:9">
      <c r="A554">
        <v>10926</v>
      </c>
      <c r="B554" t="s">
        <v>246</v>
      </c>
      <c r="C554" s="67">
        <v>35858</v>
      </c>
      <c r="D554" s="67">
        <v>35886</v>
      </c>
      <c r="E554" s="67">
        <v>35865</v>
      </c>
      <c r="F554" t="s">
        <v>243</v>
      </c>
      <c r="G554">
        <v>39.92</v>
      </c>
      <c r="H554" t="s">
        <v>246</v>
      </c>
      <c r="I554" t="s">
        <v>165</v>
      </c>
    </row>
    <row r="555" spans="1:9">
      <c r="A555">
        <v>10930</v>
      </c>
      <c r="B555" t="s">
        <v>138</v>
      </c>
      <c r="C555" s="67">
        <v>35860</v>
      </c>
      <c r="D555" s="67">
        <v>35902</v>
      </c>
      <c r="E555" s="67">
        <v>35872</v>
      </c>
      <c r="F555" t="s">
        <v>243</v>
      </c>
      <c r="G555">
        <v>15.55</v>
      </c>
      <c r="H555" t="s">
        <v>138</v>
      </c>
      <c r="I555" t="s">
        <v>139</v>
      </c>
    </row>
    <row r="556" spans="1:9">
      <c r="A556">
        <v>10933</v>
      </c>
      <c r="B556" t="s">
        <v>168</v>
      </c>
      <c r="C556" s="67">
        <v>35860</v>
      </c>
      <c r="D556" s="67">
        <v>35888</v>
      </c>
      <c r="E556" s="67">
        <v>35870</v>
      </c>
      <c r="F556" t="s">
        <v>243</v>
      </c>
      <c r="G556">
        <v>54.15</v>
      </c>
      <c r="H556" t="s">
        <v>168</v>
      </c>
      <c r="I556" t="s">
        <v>169</v>
      </c>
    </row>
    <row r="557" spans="1:9">
      <c r="A557">
        <v>10934</v>
      </c>
      <c r="B557" t="s">
        <v>149</v>
      </c>
      <c r="C557" s="67">
        <v>35863</v>
      </c>
      <c r="D557" s="67">
        <v>35891</v>
      </c>
      <c r="E557" s="67">
        <v>35866</v>
      </c>
      <c r="F557" t="s">
        <v>243</v>
      </c>
      <c r="G557">
        <v>32.01</v>
      </c>
      <c r="H557" t="s">
        <v>149</v>
      </c>
      <c r="I557" t="s">
        <v>150</v>
      </c>
    </row>
    <row r="558" spans="1:9">
      <c r="A558">
        <v>10935</v>
      </c>
      <c r="B558" t="s">
        <v>142</v>
      </c>
      <c r="C558" s="67">
        <v>35863</v>
      </c>
      <c r="D558" s="67">
        <v>35891</v>
      </c>
      <c r="E558" s="67">
        <v>35872</v>
      </c>
      <c r="F558" t="s">
        <v>243</v>
      </c>
      <c r="G558">
        <v>47.59</v>
      </c>
      <c r="H558" t="s">
        <v>142</v>
      </c>
      <c r="I558" t="s">
        <v>137</v>
      </c>
    </row>
    <row r="559" spans="1:9">
      <c r="A559">
        <v>10937</v>
      </c>
      <c r="B559" t="s">
        <v>213</v>
      </c>
      <c r="C559" s="67">
        <v>35864</v>
      </c>
      <c r="D559" s="67">
        <v>35878</v>
      </c>
      <c r="E559" s="67">
        <v>35867</v>
      </c>
      <c r="F559" t="s">
        <v>243</v>
      </c>
      <c r="G559">
        <v>31.51</v>
      </c>
      <c r="H559" t="s">
        <v>213</v>
      </c>
      <c r="I559" t="s">
        <v>200</v>
      </c>
    </row>
    <row r="560" spans="1:9">
      <c r="A560">
        <v>10940</v>
      </c>
      <c r="B560" t="s">
        <v>204</v>
      </c>
      <c r="C560" s="67">
        <v>35865</v>
      </c>
      <c r="D560" s="67">
        <v>35893</v>
      </c>
      <c r="E560" s="67">
        <v>35877</v>
      </c>
      <c r="F560" t="s">
        <v>243</v>
      </c>
      <c r="G560">
        <v>19.77</v>
      </c>
      <c r="H560" t="s">
        <v>204</v>
      </c>
      <c r="I560" t="s">
        <v>154</v>
      </c>
    </row>
    <row r="561" spans="1:9">
      <c r="A561">
        <v>10942</v>
      </c>
      <c r="B561" t="s">
        <v>229</v>
      </c>
      <c r="C561" s="67">
        <v>35865</v>
      </c>
      <c r="D561" s="67">
        <v>35893</v>
      </c>
      <c r="E561" s="67">
        <v>35872</v>
      </c>
      <c r="F561" t="s">
        <v>243</v>
      </c>
      <c r="G561">
        <v>17.95</v>
      </c>
      <c r="H561" t="s">
        <v>229</v>
      </c>
      <c r="I561" t="s">
        <v>160</v>
      </c>
    </row>
    <row r="562" spans="1:9">
      <c r="A562">
        <v>10944</v>
      </c>
      <c r="B562" t="s">
        <v>188</v>
      </c>
      <c r="C562" s="67">
        <v>35866</v>
      </c>
      <c r="D562" s="67">
        <v>35880</v>
      </c>
      <c r="E562" s="67">
        <v>35867</v>
      </c>
      <c r="F562" t="s">
        <v>243</v>
      </c>
      <c r="G562">
        <v>52.92</v>
      </c>
      <c r="H562" t="s">
        <v>188</v>
      </c>
      <c r="I562" t="s">
        <v>172</v>
      </c>
    </row>
    <row r="563" spans="1:9">
      <c r="A563">
        <v>10948</v>
      </c>
      <c r="B563" t="s">
        <v>162</v>
      </c>
      <c r="C563" s="67">
        <v>35867</v>
      </c>
      <c r="D563" s="67">
        <v>35895</v>
      </c>
      <c r="E563" s="67">
        <v>35873</v>
      </c>
      <c r="F563" t="s">
        <v>243</v>
      </c>
      <c r="G563">
        <v>23.39</v>
      </c>
      <c r="H563" t="s">
        <v>162</v>
      </c>
      <c r="I563" t="s">
        <v>163</v>
      </c>
    </row>
    <row r="564" spans="1:9">
      <c r="A564">
        <v>10949</v>
      </c>
      <c r="B564" t="s">
        <v>188</v>
      </c>
      <c r="C564" s="67">
        <v>35867</v>
      </c>
      <c r="D564" s="67">
        <v>35895</v>
      </c>
      <c r="E564" s="67">
        <v>35871</v>
      </c>
      <c r="F564" t="s">
        <v>243</v>
      </c>
      <c r="G564">
        <v>74.44</v>
      </c>
      <c r="H564" t="s">
        <v>188</v>
      </c>
      <c r="I564" t="s">
        <v>172</v>
      </c>
    </row>
    <row r="565" spans="1:9">
      <c r="A565">
        <v>10957</v>
      </c>
      <c r="B565" t="s">
        <v>209</v>
      </c>
      <c r="C565" s="67">
        <v>35872</v>
      </c>
      <c r="D565" s="67">
        <v>35900</v>
      </c>
      <c r="E565" s="67">
        <v>35881</v>
      </c>
      <c r="F565" t="s">
        <v>243</v>
      </c>
      <c r="G565">
        <v>105.36</v>
      </c>
      <c r="H565" t="s">
        <v>209</v>
      </c>
      <c r="I565" t="s">
        <v>208</v>
      </c>
    </row>
    <row r="566" spans="1:9">
      <c r="A566">
        <v>10963</v>
      </c>
      <c r="B566" t="s">
        <v>203</v>
      </c>
      <c r="C566" s="67">
        <v>35873</v>
      </c>
      <c r="D566" s="67">
        <v>35901</v>
      </c>
      <c r="E566" s="67">
        <v>35880</v>
      </c>
      <c r="F566" t="s">
        <v>243</v>
      </c>
      <c r="G566">
        <v>2.7</v>
      </c>
      <c r="H566" t="s">
        <v>203</v>
      </c>
      <c r="I566" t="s">
        <v>175</v>
      </c>
    </row>
    <row r="567" spans="1:9">
      <c r="A567">
        <v>10965</v>
      </c>
      <c r="B567" t="s">
        <v>198</v>
      </c>
      <c r="C567" s="67">
        <v>35874</v>
      </c>
      <c r="D567" s="67">
        <v>35902</v>
      </c>
      <c r="E567" s="67">
        <v>35884</v>
      </c>
      <c r="F567" t="s">
        <v>243</v>
      </c>
      <c r="G567">
        <v>144.38</v>
      </c>
      <c r="H567" t="s">
        <v>198</v>
      </c>
      <c r="I567" t="s">
        <v>145</v>
      </c>
    </row>
    <row r="568" spans="1:9">
      <c r="A568">
        <v>10968</v>
      </c>
      <c r="B568" t="s">
        <v>182</v>
      </c>
      <c r="C568" s="67">
        <v>35877</v>
      </c>
      <c r="D568" s="67">
        <v>35905</v>
      </c>
      <c r="E568" s="67">
        <v>35886</v>
      </c>
      <c r="F568" t="s">
        <v>243</v>
      </c>
      <c r="G568">
        <v>74.6</v>
      </c>
      <c r="H568" t="s">
        <v>182</v>
      </c>
      <c r="I568" t="s">
        <v>183</v>
      </c>
    </row>
    <row r="569" spans="1:9">
      <c r="A569">
        <v>10974</v>
      </c>
      <c r="B569" t="s">
        <v>144</v>
      </c>
      <c r="C569" s="67">
        <v>35879</v>
      </c>
      <c r="D569" s="67">
        <v>35893</v>
      </c>
      <c r="E569" s="67">
        <v>35888</v>
      </c>
      <c r="F569" t="s">
        <v>243</v>
      </c>
      <c r="G569">
        <v>12.96</v>
      </c>
      <c r="H569" t="s">
        <v>144</v>
      </c>
      <c r="I569" t="s">
        <v>145</v>
      </c>
    </row>
    <row r="570" spans="1:9">
      <c r="A570">
        <v>10975</v>
      </c>
      <c r="B570" t="s">
        <v>188</v>
      </c>
      <c r="C570" s="67">
        <v>35879</v>
      </c>
      <c r="D570" s="67">
        <v>35907</v>
      </c>
      <c r="E570" s="67">
        <v>35881</v>
      </c>
      <c r="F570" t="s">
        <v>243</v>
      </c>
      <c r="G570">
        <v>32.27</v>
      </c>
      <c r="H570" t="s">
        <v>188</v>
      </c>
      <c r="I570" t="s">
        <v>172</v>
      </c>
    </row>
    <row r="571" spans="1:9">
      <c r="A571">
        <v>10977</v>
      </c>
      <c r="B571" t="s">
        <v>194</v>
      </c>
      <c r="C571" s="67">
        <v>35880</v>
      </c>
      <c r="D571" s="67">
        <v>35908</v>
      </c>
      <c r="E571" s="67">
        <v>35895</v>
      </c>
      <c r="F571" t="s">
        <v>243</v>
      </c>
      <c r="G571">
        <v>208.5</v>
      </c>
      <c r="H571" t="s">
        <v>194</v>
      </c>
      <c r="I571" t="s">
        <v>148</v>
      </c>
    </row>
    <row r="572" spans="1:9">
      <c r="A572">
        <v>10984</v>
      </c>
      <c r="B572" t="s">
        <v>197</v>
      </c>
      <c r="C572" s="67">
        <v>35884</v>
      </c>
      <c r="D572" s="67">
        <v>35912</v>
      </c>
      <c r="E572" s="67">
        <v>35888</v>
      </c>
      <c r="F572" t="s">
        <v>243</v>
      </c>
      <c r="G572">
        <v>211.22</v>
      </c>
      <c r="H572" t="s">
        <v>197</v>
      </c>
      <c r="I572" t="s">
        <v>145</v>
      </c>
    </row>
    <row r="573" spans="1:9">
      <c r="A573">
        <v>10990</v>
      </c>
      <c r="B573" t="s">
        <v>182</v>
      </c>
      <c r="C573" s="67">
        <v>35886</v>
      </c>
      <c r="D573" s="67">
        <v>35928</v>
      </c>
      <c r="E573" s="67">
        <v>35892</v>
      </c>
      <c r="F573" t="s">
        <v>243</v>
      </c>
      <c r="G573">
        <v>117.61</v>
      </c>
      <c r="H573" t="s">
        <v>182</v>
      </c>
      <c r="I573" t="s">
        <v>183</v>
      </c>
    </row>
    <row r="574" spans="1:9">
      <c r="A574">
        <v>10992</v>
      </c>
      <c r="B574" t="s">
        <v>167</v>
      </c>
      <c r="C574" s="67">
        <v>35886</v>
      </c>
      <c r="D574" s="67">
        <v>35914</v>
      </c>
      <c r="E574" s="67">
        <v>35888</v>
      </c>
      <c r="F574" t="s">
        <v>243</v>
      </c>
      <c r="G574">
        <v>4.27</v>
      </c>
      <c r="H574" t="s">
        <v>167</v>
      </c>
      <c r="I574" t="s">
        <v>145</v>
      </c>
    </row>
    <row r="575" spans="1:9">
      <c r="A575">
        <v>10993</v>
      </c>
      <c r="B575" t="s">
        <v>194</v>
      </c>
      <c r="C575" s="67">
        <v>35886</v>
      </c>
      <c r="D575" s="67">
        <v>35914</v>
      </c>
      <c r="E575" s="67">
        <v>35895</v>
      </c>
      <c r="F575" t="s">
        <v>243</v>
      </c>
      <c r="G575">
        <v>8.81</v>
      </c>
      <c r="H575" t="s">
        <v>194</v>
      </c>
      <c r="I575" t="s">
        <v>148</v>
      </c>
    </row>
    <row r="576" spans="1:9">
      <c r="A576">
        <v>10994</v>
      </c>
      <c r="B576" t="s">
        <v>221</v>
      </c>
      <c r="C576" s="67">
        <v>35887</v>
      </c>
      <c r="D576" s="67">
        <v>35901</v>
      </c>
      <c r="E576" s="67">
        <v>35894</v>
      </c>
      <c r="F576" t="s">
        <v>243</v>
      </c>
      <c r="G576">
        <v>65.53</v>
      </c>
      <c r="H576" t="s">
        <v>221</v>
      </c>
      <c r="I576" t="s">
        <v>222</v>
      </c>
    </row>
    <row r="577" spans="1:9">
      <c r="A577">
        <v>10995</v>
      </c>
      <c r="B577" t="s">
        <v>205</v>
      </c>
      <c r="C577" s="67">
        <v>35887</v>
      </c>
      <c r="D577" s="67">
        <v>35915</v>
      </c>
      <c r="E577" s="67">
        <v>35891</v>
      </c>
      <c r="F577" t="s">
        <v>243</v>
      </c>
      <c r="G577">
        <v>46</v>
      </c>
      <c r="H577" t="s">
        <v>205</v>
      </c>
      <c r="I577" t="s">
        <v>165</v>
      </c>
    </row>
    <row r="578" spans="1:9">
      <c r="A578">
        <v>11000</v>
      </c>
      <c r="B578" t="s">
        <v>146</v>
      </c>
      <c r="C578" s="67">
        <v>35891</v>
      </c>
      <c r="D578" s="67">
        <v>35919</v>
      </c>
      <c r="E578" s="67">
        <v>35899</v>
      </c>
      <c r="F578" t="s">
        <v>243</v>
      </c>
      <c r="G578">
        <v>55.12</v>
      </c>
      <c r="H578" t="s">
        <v>146</v>
      </c>
      <c r="I578" t="s">
        <v>145</v>
      </c>
    </row>
    <row r="579" spans="1:9">
      <c r="A579">
        <v>11003</v>
      </c>
      <c r="B579" t="s">
        <v>227</v>
      </c>
      <c r="C579" s="67">
        <v>35891</v>
      </c>
      <c r="D579" s="67">
        <v>35919</v>
      </c>
      <c r="E579" s="67">
        <v>35893</v>
      </c>
      <c r="F579" t="s">
        <v>243</v>
      </c>
      <c r="G579">
        <v>14.91</v>
      </c>
      <c r="H579" t="s">
        <v>227</v>
      </c>
      <c r="I579" t="s">
        <v>145</v>
      </c>
    </row>
    <row r="580" spans="1:9">
      <c r="A580">
        <v>11008</v>
      </c>
      <c r="B580" t="s">
        <v>182</v>
      </c>
      <c r="C580" s="67">
        <v>35893</v>
      </c>
      <c r="D580" s="67">
        <v>35921</v>
      </c>
      <c r="E580" s="67"/>
      <c r="F580" t="s">
        <v>243</v>
      </c>
      <c r="G580">
        <v>79.46</v>
      </c>
      <c r="H580" t="s">
        <v>182</v>
      </c>
      <c r="I580" t="s">
        <v>183</v>
      </c>
    </row>
    <row r="581" spans="1:9">
      <c r="A581">
        <v>11012</v>
      </c>
      <c r="B581" t="s">
        <v>176</v>
      </c>
      <c r="C581" s="67">
        <v>35894</v>
      </c>
      <c r="D581" s="67">
        <v>35908</v>
      </c>
      <c r="E581" s="67">
        <v>35902</v>
      </c>
      <c r="F581" t="s">
        <v>243</v>
      </c>
      <c r="G581">
        <v>242.95</v>
      </c>
      <c r="H581" t="s">
        <v>176</v>
      </c>
      <c r="I581" t="s">
        <v>150</v>
      </c>
    </row>
    <row r="582" spans="1:9">
      <c r="A582">
        <v>11014</v>
      </c>
      <c r="B582" t="s">
        <v>207</v>
      </c>
      <c r="C582" s="67">
        <v>35895</v>
      </c>
      <c r="D582" s="67">
        <v>35923</v>
      </c>
      <c r="E582" s="67">
        <v>35900</v>
      </c>
      <c r="F582" t="s">
        <v>243</v>
      </c>
      <c r="G582">
        <v>23.6</v>
      </c>
      <c r="H582" t="s">
        <v>207</v>
      </c>
      <c r="I582" t="s">
        <v>208</v>
      </c>
    </row>
    <row r="583" spans="1:9">
      <c r="A583">
        <v>11019</v>
      </c>
      <c r="B583" t="s">
        <v>199</v>
      </c>
      <c r="C583" s="67">
        <v>35898</v>
      </c>
      <c r="D583" s="67">
        <v>35926</v>
      </c>
      <c r="E583" s="67"/>
      <c r="F583" t="s">
        <v>243</v>
      </c>
      <c r="G583">
        <v>3.17</v>
      </c>
      <c r="H583" t="s">
        <v>199</v>
      </c>
      <c r="I583" t="s">
        <v>200</v>
      </c>
    </row>
    <row r="584" spans="1:9">
      <c r="A584">
        <v>11025</v>
      </c>
      <c r="B584" t="s">
        <v>190</v>
      </c>
      <c r="C584" s="67">
        <v>35900</v>
      </c>
      <c r="D584" s="67">
        <v>35928</v>
      </c>
      <c r="E584" s="67">
        <v>35909</v>
      </c>
      <c r="F584" t="s">
        <v>243</v>
      </c>
      <c r="G584">
        <v>29.17</v>
      </c>
      <c r="H584" t="s">
        <v>190</v>
      </c>
      <c r="I584" t="s">
        <v>191</v>
      </c>
    </row>
    <row r="585" spans="1:9">
      <c r="A585">
        <v>11032</v>
      </c>
      <c r="B585" t="s">
        <v>177</v>
      </c>
      <c r="C585" s="67">
        <v>35902</v>
      </c>
      <c r="D585" s="67">
        <v>35930</v>
      </c>
      <c r="E585" s="67">
        <v>35908</v>
      </c>
      <c r="F585" t="s">
        <v>243</v>
      </c>
      <c r="G585">
        <v>606.19</v>
      </c>
      <c r="H585" t="s">
        <v>177</v>
      </c>
      <c r="I585" t="s">
        <v>145</v>
      </c>
    </row>
    <row r="586" spans="1:9">
      <c r="A586">
        <v>11033</v>
      </c>
      <c r="B586" t="s">
        <v>192</v>
      </c>
      <c r="C586" s="67">
        <v>35902</v>
      </c>
      <c r="D586" s="67">
        <v>35930</v>
      </c>
      <c r="E586" s="67">
        <v>35908</v>
      </c>
      <c r="F586" t="s">
        <v>243</v>
      </c>
      <c r="G586">
        <v>84.74</v>
      </c>
      <c r="H586" t="s">
        <v>192</v>
      </c>
      <c r="I586" t="s">
        <v>141</v>
      </c>
    </row>
    <row r="587" spans="1:9">
      <c r="A587">
        <v>11036</v>
      </c>
      <c r="B587" t="s">
        <v>232</v>
      </c>
      <c r="C587" s="67">
        <v>35905</v>
      </c>
      <c r="D587" s="67">
        <v>35933</v>
      </c>
      <c r="E587" s="67">
        <v>35907</v>
      </c>
      <c r="F587" t="s">
        <v>243</v>
      </c>
      <c r="G587">
        <v>149.47</v>
      </c>
      <c r="H587" t="s">
        <v>232</v>
      </c>
      <c r="I587" t="s">
        <v>150</v>
      </c>
    </row>
    <row r="588" spans="1:9">
      <c r="A588">
        <v>11040</v>
      </c>
      <c r="B588" t="s">
        <v>215</v>
      </c>
      <c r="C588" s="67">
        <v>35907</v>
      </c>
      <c r="D588" s="67">
        <v>35935</v>
      </c>
      <c r="E588" s="67"/>
      <c r="F588" t="s">
        <v>243</v>
      </c>
      <c r="G588">
        <v>18.84</v>
      </c>
      <c r="H588" t="s">
        <v>215</v>
      </c>
      <c r="I588" t="s">
        <v>145</v>
      </c>
    </row>
    <row r="589" spans="1:9">
      <c r="A589">
        <v>11047</v>
      </c>
      <c r="B589" t="s">
        <v>240</v>
      </c>
      <c r="C589" s="67">
        <v>35909</v>
      </c>
      <c r="D589" s="67">
        <v>35937</v>
      </c>
      <c r="E589" s="67">
        <v>35916</v>
      </c>
      <c r="F589" t="s">
        <v>243</v>
      </c>
      <c r="G589">
        <v>46.62</v>
      </c>
      <c r="H589" t="s">
        <v>240</v>
      </c>
      <c r="I589" t="s">
        <v>169</v>
      </c>
    </row>
    <row r="590" spans="1:9">
      <c r="A590">
        <v>11048</v>
      </c>
      <c r="B590" t="s">
        <v>188</v>
      </c>
      <c r="C590" s="67">
        <v>35909</v>
      </c>
      <c r="D590" s="67">
        <v>35937</v>
      </c>
      <c r="E590" s="67">
        <v>35915</v>
      </c>
      <c r="F590" t="s">
        <v>243</v>
      </c>
      <c r="G590">
        <v>24.12</v>
      </c>
      <c r="H590" t="s">
        <v>188</v>
      </c>
      <c r="I590" t="s">
        <v>172</v>
      </c>
    </row>
    <row r="591" spans="1:9">
      <c r="A591">
        <v>11051</v>
      </c>
      <c r="B591" t="s">
        <v>178</v>
      </c>
      <c r="C591" s="67">
        <v>35912</v>
      </c>
      <c r="D591" s="67">
        <v>35940</v>
      </c>
      <c r="E591" s="67"/>
      <c r="F591" t="s">
        <v>243</v>
      </c>
      <c r="G591">
        <v>2.79</v>
      </c>
      <c r="H591" t="s">
        <v>178</v>
      </c>
      <c r="I591" t="s">
        <v>154</v>
      </c>
    </row>
    <row r="592" spans="1:9">
      <c r="A592">
        <v>11057</v>
      </c>
      <c r="B592" t="s">
        <v>248</v>
      </c>
      <c r="C592" s="67">
        <v>35914</v>
      </c>
      <c r="D592" s="67">
        <v>35942</v>
      </c>
      <c r="E592" s="67">
        <v>35916</v>
      </c>
      <c r="F592" t="s">
        <v>243</v>
      </c>
      <c r="G592">
        <v>4.13</v>
      </c>
      <c r="H592" t="s">
        <v>248</v>
      </c>
      <c r="I592" t="s">
        <v>169</v>
      </c>
    </row>
    <row r="593" spans="1:9">
      <c r="A593">
        <v>11058</v>
      </c>
      <c r="B593" t="s">
        <v>220</v>
      </c>
      <c r="C593" s="67">
        <v>35914</v>
      </c>
      <c r="D593" s="67">
        <v>35942</v>
      </c>
      <c r="E593" s="67"/>
      <c r="F593" t="s">
        <v>243</v>
      </c>
      <c r="G593">
        <v>31.14</v>
      </c>
      <c r="H593" t="s">
        <v>220</v>
      </c>
      <c r="I593" t="s">
        <v>150</v>
      </c>
    </row>
    <row r="594" spans="1:9">
      <c r="A594">
        <v>11061</v>
      </c>
      <c r="B594" t="s">
        <v>215</v>
      </c>
      <c r="C594" s="67">
        <v>35915</v>
      </c>
      <c r="D594" s="67">
        <v>35957</v>
      </c>
      <c r="E594" s="67"/>
      <c r="F594" t="s">
        <v>243</v>
      </c>
      <c r="G594">
        <v>14.01</v>
      </c>
      <c r="H594" t="s">
        <v>215</v>
      </c>
      <c r="I594" t="s">
        <v>145</v>
      </c>
    </row>
    <row r="595" spans="1:9">
      <c r="A595" s="99">
        <v>10249</v>
      </c>
      <c r="B595" s="99" t="s">
        <v>152</v>
      </c>
      <c r="C595" s="100">
        <v>35251</v>
      </c>
      <c r="D595" s="100">
        <v>35293</v>
      </c>
      <c r="E595" s="100">
        <v>35256</v>
      </c>
      <c r="F595" s="99" t="s">
        <v>249</v>
      </c>
      <c r="G595" s="99">
        <v>11.61</v>
      </c>
      <c r="H595" s="99" t="s">
        <v>196</v>
      </c>
      <c r="I595" t="s">
        <v>150</v>
      </c>
    </row>
    <row r="596" spans="1:9">
      <c r="A596" s="99">
        <v>10251</v>
      </c>
      <c r="B596" s="99" t="s">
        <v>173</v>
      </c>
      <c r="C596" s="100">
        <v>35254</v>
      </c>
      <c r="D596" s="100">
        <v>35282</v>
      </c>
      <c r="E596" s="100">
        <v>35261</v>
      </c>
      <c r="F596" s="99" t="s">
        <v>249</v>
      </c>
      <c r="G596" s="99">
        <v>41.34</v>
      </c>
      <c r="H596" s="99" t="s">
        <v>173</v>
      </c>
      <c r="I596" t="s">
        <v>154</v>
      </c>
    </row>
    <row r="597" spans="1:9">
      <c r="A597" s="99">
        <v>10258</v>
      </c>
      <c r="B597" s="99" t="s">
        <v>182</v>
      </c>
      <c r="C597" s="100">
        <v>35263</v>
      </c>
      <c r="D597" s="100">
        <v>35291</v>
      </c>
      <c r="E597" s="100">
        <v>35269</v>
      </c>
      <c r="F597" s="99" t="s">
        <v>249</v>
      </c>
      <c r="G597" s="99">
        <v>140.51</v>
      </c>
      <c r="H597" s="99" t="s">
        <v>182</v>
      </c>
      <c r="I597" t="s">
        <v>183</v>
      </c>
    </row>
    <row r="598" spans="1:9">
      <c r="A598" s="99">
        <v>10260</v>
      </c>
      <c r="B598" s="99" t="s">
        <v>198</v>
      </c>
      <c r="C598" s="100">
        <v>35265</v>
      </c>
      <c r="D598" s="100">
        <v>35293</v>
      </c>
      <c r="E598" s="100">
        <v>35275</v>
      </c>
      <c r="F598" s="99" t="s">
        <v>249</v>
      </c>
      <c r="G598" s="99">
        <v>55.09</v>
      </c>
      <c r="H598" s="99" t="s">
        <v>189</v>
      </c>
      <c r="I598" t="s">
        <v>150</v>
      </c>
    </row>
    <row r="599" spans="1:9">
      <c r="A599" s="99">
        <v>10265</v>
      </c>
      <c r="B599" s="99" t="s">
        <v>155</v>
      </c>
      <c r="C599" s="100">
        <v>35271</v>
      </c>
      <c r="D599" s="100">
        <v>35299</v>
      </c>
      <c r="E599" s="100">
        <v>35289</v>
      </c>
      <c r="F599" s="99" t="s">
        <v>249</v>
      </c>
      <c r="G599" s="99">
        <v>55.28</v>
      </c>
      <c r="H599" s="99" t="s">
        <v>155</v>
      </c>
      <c r="I599" t="s">
        <v>154</v>
      </c>
    </row>
    <row r="600" spans="1:9">
      <c r="A600" s="99">
        <v>10267</v>
      </c>
      <c r="B600" s="99" t="s">
        <v>176</v>
      </c>
      <c r="C600" s="100">
        <v>35275</v>
      </c>
      <c r="D600" s="100">
        <v>35303</v>
      </c>
      <c r="E600" s="100">
        <v>35283</v>
      </c>
      <c r="F600" s="99" t="s">
        <v>249</v>
      </c>
      <c r="G600" s="99">
        <v>208.58</v>
      </c>
      <c r="H600" s="99" t="s">
        <v>176</v>
      </c>
      <c r="I600" t="s">
        <v>150</v>
      </c>
    </row>
    <row r="601" spans="1:9">
      <c r="A601" s="99">
        <v>10269</v>
      </c>
      <c r="B601" s="99" t="s">
        <v>177</v>
      </c>
      <c r="C601" s="100">
        <v>35277</v>
      </c>
      <c r="D601" s="100">
        <v>35291</v>
      </c>
      <c r="E601" s="100">
        <v>35286</v>
      </c>
      <c r="F601" s="99" t="s">
        <v>249</v>
      </c>
      <c r="G601" s="99">
        <v>4.56</v>
      </c>
      <c r="H601" s="99" t="s">
        <v>177</v>
      </c>
      <c r="I601" t="s">
        <v>145</v>
      </c>
    </row>
    <row r="602" spans="1:9">
      <c r="A602" s="99">
        <v>10270</v>
      </c>
      <c r="B602" s="99" t="s">
        <v>190</v>
      </c>
      <c r="C602" s="100">
        <v>35278</v>
      </c>
      <c r="D602" s="100">
        <v>35306</v>
      </c>
      <c r="E602" s="100">
        <v>35279</v>
      </c>
      <c r="F602" s="99" t="s">
        <v>249</v>
      </c>
      <c r="G602" s="99">
        <v>136.54</v>
      </c>
      <c r="H602" s="99" t="s">
        <v>190</v>
      </c>
      <c r="I602" t="s">
        <v>191</v>
      </c>
    </row>
    <row r="603" spans="1:9">
      <c r="A603" s="99">
        <v>10274</v>
      </c>
      <c r="B603" s="99" t="s">
        <v>153</v>
      </c>
      <c r="C603" s="100">
        <v>35283</v>
      </c>
      <c r="D603" s="100">
        <v>35311</v>
      </c>
      <c r="E603" s="100">
        <v>35293</v>
      </c>
      <c r="F603" s="99" t="s">
        <v>249</v>
      </c>
      <c r="G603" s="99">
        <v>6.01</v>
      </c>
      <c r="H603" s="99" t="s">
        <v>153</v>
      </c>
      <c r="I603" t="s">
        <v>154</v>
      </c>
    </row>
    <row r="604" spans="1:9">
      <c r="A604" s="99">
        <v>10275</v>
      </c>
      <c r="B604" s="99" t="s">
        <v>159</v>
      </c>
      <c r="C604" s="100">
        <v>35284</v>
      </c>
      <c r="D604" s="100">
        <v>35312</v>
      </c>
      <c r="E604" s="100">
        <v>35286</v>
      </c>
      <c r="F604" s="99" t="s">
        <v>249</v>
      </c>
      <c r="G604" s="99">
        <v>26.93</v>
      </c>
      <c r="H604" s="99" t="s">
        <v>159</v>
      </c>
      <c r="I604" t="s">
        <v>160</v>
      </c>
    </row>
    <row r="605" spans="1:9">
      <c r="A605" s="99">
        <v>10280</v>
      </c>
      <c r="B605" s="99" t="s">
        <v>147</v>
      </c>
      <c r="C605" s="100">
        <v>35291</v>
      </c>
      <c r="D605" s="100">
        <v>35319</v>
      </c>
      <c r="E605" s="100">
        <v>35320</v>
      </c>
      <c r="F605" s="99" t="s">
        <v>249</v>
      </c>
      <c r="G605" s="99">
        <v>8.98</v>
      </c>
      <c r="H605" s="99" t="s">
        <v>147</v>
      </c>
      <c r="I605" t="s">
        <v>148</v>
      </c>
    </row>
    <row r="606" spans="1:9">
      <c r="A606" s="99">
        <v>10281</v>
      </c>
      <c r="B606" s="99" t="s">
        <v>235</v>
      </c>
      <c r="C606" s="100">
        <v>35291</v>
      </c>
      <c r="D606" s="100">
        <v>35305</v>
      </c>
      <c r="E606" s="100">
        <v>35298</v>
      </c>
      <c r="F606" s="99" t="s">
        <v>249</v>
      </c>
      <c r="G606" s="99">
        <v>2.94</v>
      </c>
      <c r="H606" s="99" t="s">
        <v>235</v>
      </c>
      <c r="I606" t="s">
        <v>163</v>
      </c>
    </row>
    <row r="607" spans="1:9">
      <c r="A607" s="99">
        <v>10282</v>
      </c>
      <c r="B607" s="99" t="s">
        <v>235</v>
      </c>
      <c r="C607" s="100">
        <v>35292</v>
      </c>
      <c r="D607" s="100">
        <v>35320</v>
      </c>
      <c r="E607" s="100">
        <v>35298</v>
      </c>
      <c r="F607" s="99" t="s">
        <v>249</v>
      </c>
      <c r="G607" s="99">
        <v>12.69</v>
      </c>
      <c r="H607" s="99" t="s">
        <v>235</v>
      </c>
      <c r="I607" t="s">
        <v>163</v>
      </c>
    </row>
    <row r="608" spans="1:9">
      <c r="A608" s="99">
        <v>10284</v>
      </c>
      <c r="B608" s="99" t="s">
        <v>149</v>
      </c>
      <c r="C608" s="100">
        <v>35296</v>
      </c>
      <c r="D608" s="100">
        <v>35324</v>
      </c>
      <c r="E608" s="100">
        <v>35304</v>
      </c>
      <c r="F608" s="99" t="s">
        <v>249</v>
      </c>
      <c r="G608" s="99">
        <v>76.56</v>
      </c>
      <c r="H608" s="99" t="s">
        <v>149</v>
      </c>
      <c r="I608" t="s">
        <v>150</v>
      </c>
    </row>
    <row r="609" spans="1:9">
      <c r="A609" s="99">
        <v>10288</v>
      </c>
      <c r="B609" s="99" t="s">
        <v>229</v>
      </c>
      <c r="C609" s="100">
        <v>35300</v>
      </c>
      <c r="D609" s="100">
        <v>35328</v>
      </c>
      <c r="E609" s="100">
        <v>35311</v>
      </c>
      <c r="F609" s="99" t="s">
        <v>249</v>
      </c>
      <c r="G609" s="99">
        <v>7.45</v>
      </c>
      <c r="H609" s="99" t="s">
        <v>229</v>
      </c>
      <c r="I609" t="s">
        <v>160</v>
      </c>
    </row>
    <row r="610" spans="1:9">
      <c r="A610" s="99">
        <v>10290</v>
      </c>
      <c r="B610" s="99" t="s">
        <v>210</v>
      </c>
      <c r="C610" s="100">
        <v>35304</v>
      </c>
      <c r="D610" s="100">
        <v>35332</v>
      </c>
      <c r="E610" s="100">
        <v>35311</v>
      </c>
      <c r="F610" s="99" t="s">
        <v>249</v>
      </c>
      <c r="G610" s="99">
        <v>79.7</v>
      </c>
      <c r="H610" s="99" t="s">
        <v>210</v>
      </c>
      <c r="I610" t="s">
        <v>137</v>
      </c>
    </row>
    <row r="611" spans="1:9">
      <c r="A611" s="99">
        <v>10296</v>
      </c>
      <c r="B611" s="99" t="s">
        <v>211</v>
      </c>
      <c r="C611" s="100">
        <v>35311</v>
      </c>
      <c r="D611" s="100">
        <v>35339</v>
      </c>
      <c r="E611" s="100">
        <v>35319</v>
      </c>
      <c r="F611" s="99" t="s">
        <v>249</v>
      </c>
      <c r="G611" s="99">
        <v>0.12</v>
      </c>
      <c r="H611" s="99" t="s">
        <v>211</v>
      </c>
      <c r="I611" t="s">
        <v>208</v>
      </c>
    </row>
    <row r="612" spans="1:9">
      <c r="A612" s="99">
        <v>10309</v>
      </c>
      <c r="B612" s="99" t="s">
        <v>156</v>
      </c>
      <c r="C612" s="100">
        <v>35327</v>
      </c>
      <c r="D612" s="100">
        <v>35355</v>
      </c>
      <c r="E612" s="100">
        <v>35361</v>
      </c>
      <c r="F612" s="99" t="s">
        <v>249</v>
      </c>
      <c r="G612" s="99">
        <v>47.3</v>
      </c>
      <c r="H612" s="99" t="s">
        <v>156</v>
      </c>
      <c r="I612" t="s">
        <v>157</v>
      </c>
    </row>
    <row r="613" spans="1:9">
      <c r="A613" s="99">
        <v>10317</v>
      </c>
      <c r="B613" s="99" t="s">
        <v>166</v>
      </c>
      <c r="C613" s="100">
        <v>35338</v>
      </c>
      <c r="D613" s="100">
        <v>35366</v>
      </c>
      <c r="E613" s="100">
        <v>35348</v>
      </c>
      <c r="F613" s="99" t="s">
        <v>249</v>
      </c>
      <c r="G613" s="99">
        <v>12.69</v>
      </c>
      <c r="H613" s="99" t="s">
        <v>166</v>
      </c>
      <c r="I613" t="s">
        <v>145</v>
      </c>
    </row>
    <row r="614" spans="1:9">
      <c r="A614" s="99">
        <v>10323</v>
      </c>
      <c r="B614" s="99" t="s">
        <v>202</v>
      </c>
      <c r="C614" s="100">
        <v>35345</v>
      </c>
      <c r="D614" s="100">
        <v>35373</v>
      </c>
      <c r="E614" s="100">
        <v>35352</v>
      </c>
      <c r="F614" s="99" t="s">
        <v>249</v>
      </c>
      <c r="G614" s="99">
        <v>4.88</v>
      </c>
      <c r="H614" s="99" t="s">
        <v>202</v>
      </c>
      <c r="I614" t="s">
        <v>150</v>
      </c>
    </row>
    <row r="615" spans="1:9">
      <c r="A615" s="99">
        <v>10324</v>
      </c>
      <c r="B615" s="99" t="s">
        <v>197</v>
      </c>
      <c r="C615" s="100">
        <v>35346</v>
      </c>
      <c r="D615" s="100">
        <v>35374</v>
      </c>
      <c r="E615" s="100">
        <v>35348</v>
      </c>
      <c r="F615" s="99" t="s">
        <v>249</v>
      </c>
      <c r="G615" s="99">
        <v>214.27</v>
      </c>
      <c r="H615" s="99" t="s">
        <v>197</v>
      </c>
      <c r="I615" t="s">
        <v>145</v>
      </c>
    </row>
    <row r="616" spans="1:9">
      <c r="A616" s="99">
        <v>10327</v>
      </c>
      <c r="B616" s="99" t="s">
        <v>194</v>
      </c>
      <c r="C616" s="100">
        <v>35349</v>
      </c>
      <c r="D616" s="100">
        <v>35377</v>
      </c>
      <c r="E616" s="100">
        <v>35352</v>
      </c>
      <c r="F616" s="99" t="s">
        <v>249</v>
      </c>
      <c r="G616" s="99">
        <v>63.36</v>
      </c>
      <c r="H616" s="99" t="s">
        <v>194</v>
      </c>
      <c r="I616" t="s">
        <v>148</v>
      </c>
    </row>
    <row r="617" spans="1:9">
      <c r="A617" s="99">
        <v>10330</v>
      </c>
      <c r="B617" s="99" t="s">
        <v>211</v>
      </c>
      <c r="C617" s="100">
        <v>35354</v>
      </c>
      <c r="D617" s="100">
        <v>35382</v>
      </c>
      <c r="E617" s="100">
        <v>35366</v>
      </c>
      <c r="F617" s="99" t="s">
        <v>249</v>
      </c>
      <c r="G617" s="99">
        <v>12.75</v>
      </c>
      <c r="H617" s="99" t="s">
        <v>211</v>
      </c>
      <c r="I617" t="s">
        <v>208</v>
      </c>
    </row>
    <row r="618" spans="1:9">
      <c r="A618" s="99">
        <v>10331</v>
      </c>
      <c r="B618" s="99" t="s">
        <v>204</v>
      </c>
      <c r="C618" s="100">
        <v>35354</v>
      </c>
      <c r="D618" s="100">
        <v>35396</v>
      </c>
      <c r="E618" s="100">
        <v>35359</v>
      </c>
      <c r="F618" s="99" t="s">
        <v>249</v>
      </c>
      <c r="G618" s="99">
        <v>10.19</v>
      </c>
      <c r="H618" s="99" t="s">
        <v>204</v>
      </c>
      <c r="I618" t="s">
        <v>154</v>
      </c>
    </row>
    <row r="619" spans="1:9">
      <c r="A619">
        <v>10343</v>
      </c>
      <c r="B619" t="s">
        <v>149</v>
      </c>
      <c r="C619" s="67">
        <v>35369</v>
      </c>
      <c r="D619" s="67">
        <v>35397</v>
      </c>
      <c r="E619" s="67">
        <v>35375</v>
      </c>
      <c r="F619" t="s">
        <v>249</v>
      </c>
      <c r="G619">
        <v>110.37</v>
      </c>
      <c r="H619" t="s">
        <v>149</v>
      </c>
      <c r="I619" t="s">
        <v>150</v>
      </c>
    </row>
    <row r="620" spans="1:9">
      <c r="A620">
        <v>10349</v>
      </c>
      <c r="B620" t="s">
        <v>144</v>
      </c>
      <c r="C620" s="67">
        <v>35377</v>
      </c>
      <c r="D620" s="67">
        <v>35405</v>
      </c>
      <c r="E620" s="67">
        <v>35384</v>
      </c>
      <c r="F620" t="s">
        <v>249</v>
      </c>
      <c r="G620">
        <v>8.63</v>
      </c>
      <c r="H620" t="s">
        <v>144</v>
      </c>
      <c r="I620" t="s">
        <v>145</v>
      </c>
    </row>
    <row r="621" spans="1:9">
      <c r="A621">
        <v>10351</v>
      </c>
      <c r="B621" t="s">
        <v>182</v>
      </c>
      <c r="C621" s="67">
        <v>35380</v>
      </c>
      <c r="D621" s="67">
        <v>35408</v>
      </c>
      <c r="E621" s="67">
        <v>35389</v>
      </c>
      <c r="F621" t="s">
        <v>249</v>
      </c>
      <c r="G621">
        <v>162.33</v>
      </c>
      <c r="H621" t="s">
        <v>182</v>
      </c>
      <c r="I621" t="s">
        <v>183</v>
      </c>
    </row>
    <row r="622" spans="1:9">
      <c r="A622">
        <v>10355</v>
      </c>
      <c r="B622" t="s">
        <v>201</v>
      </c>
      <c r="C622" s="67">
        <v>35384</v>
      </c>
      <c r="D622" s="67">
        <v>35412</v>
      </c>
      <c r="E622" s="67">
        <v>35389</v>
      </c>
      <c r="F622" t="s">
        <v>249</v>
      </c>
      <c r="G622">
        <v>41.95</v>
      </c>
      <c r="H622" t="s">
        <v>201</v>
      </c>
      <c r="I622" t="s">
        <v>169</v>
      </c>
    </row>
    <row r="623" spans="1:9">
      <c r="A623">
        <v>10358</v>
      </c>
      <c r="B623" t="s">
        <v>178</v>
      </c>
      <c r="C623" s="67">
        <v>35389</v>
      </c>
      <c r="D623" s="67">
        <v>35417</v>
      </c>
      <c r="E623" s="67">
        <v>35396</v>
      </c>
      <c r="F623" t="s">
        <v>249</v>
      </c>
      <c r="G623">
        <v>19.64</v>
      </c>
      <c r="H623" t="s">
        <v>178</v>
      </c>
      <c r="I623" t="s">
        <v>154</v>
      </c>
    </row>
    <row r="624" spans="1:9">
      <c r="A624">
        <v>10362</v>
      </c>
      <c r="B624" t="s">
        <v>204</v>
      </c>
      <c r="C624" s="67">
        <v>35394</v>
      </c>
      <c r="D624" s="67">
        <v>35422</v>
      </c>
      <c r="E624" s="67">
        <v>35397</v>
      </c>
      <c r="F624" t="s">
        <v>249</v>
      </c>
      <c r="G624">
        <v>96.04</v>
      </c>
      <c r="H624" t="s">
        <v>204</v>
      </c>
      <c r="I624" t="s">
        <v>154</v>
      </c>
    </row>
    <row r="625" spans="1:9">
      <c r="A625">
        <v>10364</v>
      </c>
      <c r="B625" t="s">
        <v>240</v>
      </c>
      <c r="C625" s="67">
        <v>35395</v>
      </c>
      <c r="D625" s="67">
        <v>35437</v>
      </c>
      <c r="E625" s="67">
        <v>35403</v>
      </c>
      <c r="F625" t="s">
        <v>249</v>
      </c>
      <c r="G625">
        <v>71.97</v>
      </c>
      <c r="H625" t="s">
        <v>240</v>
      </c>
      <c r="I625" t="s">
        <v>169</v>
      </c>
    </row>
    <row r="626" spans="1:9">
      <c r="A626">
        <v>10371</v>
      </c>
      <c r="B626" t="s">
        <v>178</v>
      </c>
      <c r="C626" s="67">
        <v>35402</v>
      </c>
      <c r="D626" s="67">
        <v>35430</v>
      </c>
      <c r="E626" s="67">
        <v>35423</v>
      </c>
      <c r="F626" t="s">
        <v>249</v>
      </c>
      <c r="G626">
        <v>0.45</v>
      </c>
      <c r="H626" t="s">
        <v>178</v>
      </c>
      <c r="I626" t="s">
        <v>154</v>
      </c>
    </row>
    <row r="627" spans="1:9">
      <c r="A627">
        <v>10379</v>
      </c>
      <c r="B627" t="s">
        <v>143</v>
      </c>
      <c r="C627" s="67">
        <v>35410</v>
      </c>
      <c r="D627" s="67">
        <v>35438</v>
      </c>
      <c r="E627" s="67">
        <v>35412</v>
      </c>
      <c r="F627" t="s">
        <v>249</v>
      </c>
      <c r="G627">
        <v>45.03</v>
      </c>
      <c r="H627" t="s">
        <v>143</v>
      </c>
      <c r="I627" t="s">
        <v>137</v>
      </c>
    </row>
    <row r="628" spans="1:9">
      <c r="A628">
        <v>10382</v>
      </c>
      <c r="B628" t="s">
        <v>182</v>
      </c>
      <c r="C628" s="67">
        <v>35412</v>
      </c>
      <c r="D628" s="67">
        <v>35440</v>
      </c>
      <c r="E628" s="67">
        <v>35415</v>
      </c>
      <c r="F628" t="s">
        <v>249</v>
      </c>
      <c r="G628">
        <v>94.77</v>
      </c>
      <c r="H628" t="s">
        <v>182</v>
      </c>
      <c r="I628" t="s">
        <v>183</v>
      </c>
    </row>
    <row r="629" spans="1:9">
      <c r="A629">
        <v>10388</v>
      </c>
      <c r="B629" t="s">
        <v>214</v>
      </c>
      <c r="C629" s="67">
        <v>35418</v>
      </c>
      <c r="D629" s="67">
        <v>35446</v>
      </c>
      <c r="E629" s="67">
        <v>35419</v>
      </c>
      <c r="F629" t="s">
        <v>249</v>
      </c>
      <c r="G629">
        <v>34.86</v>
      </c>
      <c r="H629" t="s">
        <v>214</v>
      </c>
      <c r="I629" t="s">
        <v>169</v>
      </c>
    </row>
    <row r="630" spans="1:9">
      <c r="A630">
        <v>10390</v>
      </c>
      <c r="B630" t="s">
        <v>182</v>
      </c>
      <c r="C630" s="67">
        <v>35422</v>
      </c>
      <c r="D630" s="67">
        <v>35450</v>
      </c>
      <c r="E630" s="67">
        <v>35425</v>
      </c>
      <c r="F630" t="s">
        <v>249</v>
      </c>
      <c r="G630">
        <v>126.38</v>
      </c>
      <c r="H630" t="s">
        <v>182</v>
      </c>
      <c r="I630" t="s">
        <v>183</v>
      </c>
    </row>
    <row r="631" spans="1:9">
      <c r="A631">
        <v>10395</v>
      </c>
      <c r="B631" t="s">
        <v>209</v>
      </c>
      <c r="C631" s="67">
        <v>35425</v>
      </c>
      <c r="D631" s="67">
        <v>35453</v>
      </c>
      <c r="E631" s="67">
        <v>35433</v>
      </c>
      <c r="F631" t="s">
        <v>249</v>
      </c>
      <c r="G631">
        <v>184.41</v>
      </c>
      <c r="H631" t="s">
        <v>209</v>
      </c>
      <c r="I631" t="s">
        <v>208</v>
      </c>
    </row>
    <row r="632" spans="1:9">
      <c r="A632">
        <v>10397</v>
      </c>
      <c r="B632" t="s">
        <v>174</v>
      </c>
      <c r="C632" s="67">
        <v>35426</v>
      </c>
      <c r="D632" s="67">
        <v>35454</v>
      </c>
      <c r="E632" s="67">
        <v>35432</v>
      </c>
      <c r="F632" t="s">
        <v>249</v>
      </c>
      <c r="G632">
        <v>60.26</v>
      </c>
      <c r="H632" t="s">
        <v>174</v>
      </c>
      <c r="I632" t="s">
        <v>175</v>
      </c>
    </row>
    <row r="633" spans="1:9">
      <c r="A633">
        <v>10401</v>
      </c>
      <c r="B633" t="s">
        <v>146</v>
      </c>
      <c r="C633" s="67">
        <v>35431</v>
      </c>
      <c r="D633" s="67">
        <v>35459</v>
      </c>
      <c r="E633" s="67">
        <v>35440</v>
      </c>
      <c r="F633" t="s">
        <v>249</v>
      </c>
      <c r="G633">
        <v>12.51</v>
      </c>
      <c r="H633" t="s">
        <v>146</v>
      </c>
      <c r="I633" t="s">
        <v>145</v>
      </c>
    </row>
    <row r="634" spans="1:9">
      <c r="A634">
        <v>10404</v>
      </c>
      <c r="B634" t="s">
        <v>159</v>
      </c>
      <c r="C634" s="67">
        <v>35433</v>
      </c>
      <c r="D634" s="67">
        <v>35461</v>
      </c>
      <c r="E634" s="67">
        <v>35438</v>
      </c>
      <c r="F634" t="s">
        <v>249</v>
      </c>
      <c r="G634">
        <v>155.97</v>
      </c>
      <c r="H634" t="s">
        <v>159</v>
      </c>
      <c r="I634" t="s">
        <v>160</v>
      </c>
    </row>
    <row r="635" spans="1:9">
      <c r="A635">
        <v>10405</v>
      </c>
      <c r="B635" t="s">
        <v>207</v>
      </c>
      <c r="C635" s="67">
        <v>35436</v>
      </c>
      <c r="D635" s="67">
        <v>35464</v>
      </c>
      <c r="E635" s="67">
        <v>35452</v>
      </c>
      <c r="F635" t="s">
        <v>249</v>
      </c>
      <c r="G635">
        <v>34.82</v>
      </c>
      <c r="H635" t="s">
        <v>207</v>
      </c>
      <c r="I635" t="s">
        <v>208</v>
      </c>
    </row>
    <row r="636" spans="1:9">
      <c r="A636">
        <v>10406</v>
      </c>
      <c r="B636" t="s">
        <v>184</v>
      </c>
      <c r="C636" s="67">
        <v>35437</v>
      </c>
      <c r="D636" s="67">
        <v>35479</v>
      </c>
      <c r="E636" s="67">
        <v>35443</v>
      </c>
      <c r="F636" t="s">
        <v>249</v>
      </c>
      <c r="G636">
        <v>108.04</v>
      </c>
      <c r="H636" t="s">
        <v>184</v>
      </c>
      <c r="I636" t="s">
        <v>137</v>
      </c>
    </row>
    <row r="637" spans="1:9">
      <c r="A637">
        <v>10408</v>
      </c>
      <c r="B637" t="s">
        <v>206</v>
      </c>
      <c r="C637" s="67">
        <v>35438</v>
      </c>
      <c r="D637" s="67">
        <v>35466</v>
      </c>
      <c r="E637" s="67">
        <v>35444</v>
      </c>
      <c r="F637" t="s">
        <v>249</v>
      </c>
      <c r="G637">
        <v>11.26</v>
      </c>
      <c r="H637" t="s">
        <v>206</v>
      </c>
      <c r="I637" t="s">
        <v>154</v>
      </c>
    </row>
    <row r="638" spans="1:9">
      <c r="A638">
        <v>10409</v>
      </c>
      <c r="B638" t="s">
        <v>234</v>
      </c>
      <c r="C638" s="67">
        <v>35439</v>
      </c>
      <c r="D638" s="67">
        <v>35467</v>
      </c>
      <c r="E638" s="67">
        <v>35444</v>
      </c>
      <c r="F638" t="s">
        <v>249</v>
      </c>
      <c r="G638">
        <v>29.83</v>
      </c>
      <c r="H638" t="s">
        <v>234</v>
      </c>
      <c r="I638" t="s">
        <v>200</v>
      </c>
    </row>
    <row r="639" spans="1:9">
      <c r="A639">
        <v>10415</v>
      </c>
      <c r="B639" t="s">
        <v>185</v>
      </c>
      <c r="C639" s="67">
        <v>35445</v>
      </c>
      <c r="D639" s="67">
        <v>35473</v>
      </c>
      <c r="E639" s="67">
        <v>35454</v>
      </c>
      <c r="F639" t="s">
        <v>249</v>
      </c>
      <c r="G639">
        <v>0.2</v>
      </c>
      <c r="H639" t="s">
        <v>185</v>
      </c>
      <c r="I639" t="s">
        <v>145</v>
      </c>
    </row>
    <row r="640" spans="1:9">
      <c r="A640">
        <v>10418</v>
      </c>
      <c r="B640" t="s">
        <v>151</v>
      </c>
      <c r="C640" s="67">
        <v>35447</v>
      </c>
      <c r="D640" s="67">
        <v>35475</v>
      </c>
      <c r="E640" s="67">
        <v>35454</v>
      </c>
      <c r="F640" t="s">
        <v>249</v>
      </c>
      <c r="G640">
        <v>17.55</v>
      </c>
      <c r="H640" t="s">
        <v>151</v>
      </c>
      <c r="I640" t="s">
        <v>150</v>
      </c>
    </row>
    <row r="641" spans="1:9">
      <c r="A641">
        <v>10420</v>
      </c>
      <c r="B641" t="s">
        <v>142</v>
      </c>
      <c r="C641" s="67">
        <v>35451</v>
      </c>
      <c r="D641" s="67">
        <v>35479</v>
      </c>
      <c r="E641" s="67">
        <v>35457</v>
      </c>
      <c r="F641" t="s">
        <v>249</v>
      </c>
      <c r="G641">
        <v>44.12</v>
      </c>
      <c r="H641" t="s">
        <v>142</v>
      </c>
      <c r="I641" t="s">
        <v>137</v>
      </c>
    </row>
    <row r="642" spans="1:9">
      <c r="A642">
        <v>10421</v>
      </c>
      <c r="B642" t="s">
        <v>143</v>
      </c>
      <c r="C642" s="67">
        <v>35451</v>
      </c>
      <c r="D642" s="67">
        <v>35493</v>
      </c>
      <c r="E642" s="67">
        <v>35457</v>
      </c>
      <c r="F642" t="s">
        <v>249</v>
      </c>
      <c r="G642">
        <v>99.23</v>
      </c>
      <c r="H642" t="s">
        <v>143</v>
      </c>
      <c r="I642" t="s">
        <v>137</v>
      </c>
    </row>
    <row r="643" spans="1:9">
      <c r="A643">
        <v>10422</v>
      </c>
      <c r="B643" t="s">
        <v>241</v>
      </c>
      <c r="C643" s="67">
        <v>35452</v>
      </c>
      <c r="D643" s="67">
        <v>35480</v>
      </c>
      <c r="E643" s="67">
        <v>35461</v>
      </c>
      <c r="F643" t="s">
        <v>249</v>
      </c>
      <c r="G643">
        <v>3.02</v>
      </c>
      <c r="H643" t="s">
        <v>241</v>
      </c>
      <c r="I643" t="s">
        <v>160</v>
      </c>
    </row>
    <row r="644" spans="1:9">
      <c r="A644">
        <v>10426</v>
      </c>
      <c r="B644" t="s">
        <v>180</v>
      </c>
      <c r="C644" s="67">
        <v>35457</v>
      </c>
      <c r="D644" s="67">
        <v>35485</v>
      </c>
      <c r="E644" s="67">
        <v>35467</v>
      </c>
      <c r="F644" t="s">
        <v>249</v>
      </c>
      <c r="G644">
        <v>18.69</v>
      </c>
      <c r="H644" t="s">
        <v>181</v>
      </c>
      <c r="I644" t="s">
        <v>163</v>
      </c>
    </row>
    <row r="645" spans="1:9">
      <c r="A645">
        <v>10428</v>
      </c>
      <c r="B645" t="s">
        <v>229</v>
      </c>
      <c r="C645" s="67">
        <v>35458</v>
      </c>
      <c r="D645" s="67">
        <v>35486</v>
      </c>
      <c r="E645" s="67">
        <v>35465</v>
      </c>
      <c r="F645" t="s">
        <v>249</v>
      </c>
      <c r="G645">
        <v>11.09</v>
      </c>
      <c r="H645" t="s">
        <v>229</v>
      </c>
      <c r="I645" t="s">
        <v>160</v>
      </c>
    </row>
    <row r="646" spans="1:9">
      <c r="A646">
        <v>10430</v>
      </c>
      <c r="B646" t="s">
        <v>182</v>
      </c>
      <c r="C646" s="67">
        <v>35460</v>
      </c>
      <c r="D646" s="67">
        <v>35474</v>
      </c>
      <c r="E646" s="67">
        <v>35464</v>
      </c>
      <c r="F646" t="s">
        <v>249</v>
      </c>
      <c r="G646">
        <v>458.78</v>
      </c>
      <c r="H646" t="s">
        <v>182</v>
      </c>
      <c r="I646" t="s">
        <v>183</v>
      </c>
    </row>
    <row r="647" spans="1:9">
      <c r="A647">
        <v>10437</v>
      </c>
      <c r="B647" t="s">
        <v>190</v>
      </c>
      <c r="C647" s="67">
        <v>35466</v>
      </c>
      <c r="D647" s="67">
        <v>35494</v>
      </c>
      <c r="E647" s="67">
        <v>35473</v>
      </c>
      <c r="F647" t="s">
        <v>249</v>
      </c>
      <c r="G647">
        <v>19.97</v>
      </c>
      <c r="H647" t="s">
        <v>190</v>
      </c>
      <c r="I647" t="s">
        <v>191</v>
      </c>
    </row>
    <row r="648" spans="1:9">
      <c r="A648">
        <v>10443</v>
      </c>
      <c r="B648" t="s">
        <v>229</v>
      </c>
      <c r="C648" s="67">
        <v>35473</v>
      </c>
      <c r="D648" s="67">
        <v>35501</v>
      </c>
      <c r="E648" s="67">
        <v>35475</v>
      </c>
      <c r="F648" t="s">
        <v>249</v>
      </c>
      <c r="G648">
        <v>13.95</v>
      </c>
      <c r="H648" t="s">
        <v>229</v>
      </c>
      <c r="I648" t="s">
        <v>160</v>
      </c>
    </row>
    <row r="649" spans="1:9">
      <c r="A649">
        <v>10445</v>
      </c>
      <c r="B649" t="s">
        <v>147</v>
      </c>
      <c r="C649" s="67">
        <v>35474</v>
      </c>
      <c r="D649" s="67">
        <v>35502</v>
      </c>
      <c r="E649" s="67">
        <v>35481</v>
      </c>
      <c r="F649" t="s">
        <v>249</v>
      </c>
      <c r="G649">
        <v>9.3</v>
      </c>
      <c r="H649" t="s">
        <v>147</v>
      </c>
      <c r="I649" t="s">
        <v>148</v>
      </c>
    </row>
    <row r="650" spans="1:9">
      <c r="A650">
        <v>10446</v>
      </c>
      <c r="B650" t="s">
        <v>196</v>
      </c>
      <c r="C650" s="67">
        <v>35475</v>
      </c>
      <c r="D650" s="67">
        <v>35503</v>
      </c>
      <c r="E650" s="67">
        <v>35480</v>
      </c>
      <c r="F650" t="s">
        <v>249</v>
      </c>
      <c r="G650">
        <v>14.68</v>
      </c>
      <c r="H650" t="s">
        <v>196</v>
      </c>
      <c r="I650" t="s">
        <v>150</v>
      </c>
    </row>
    <row r="651" spans="1:9">
      <c r="A651">
        <v>10452</v>
      </c>
      <c r="B651" t="s">
        <v>197</v>
      </c>
      <c r="C651" s="67">
        <v>35481</v>
      </c>
      <c r="D651" s="67">
        <v>35509</v>
      </c>
      <c r="E651" s="67">
        <v>35487</v>
      </c>
      <c r="F651" t="s">
        <v>249</v>
      </c>
      <c r="G651">
        <v>140.26</v>
      </c>
      <c r="H651" t="s">
        <v>197</v>
      </c>
      <c r="I651" t="s">
        <v>145</v>
      </c>
    </row>
    <row r="652" spans="1:9">
      <c r="A652">
        <v>10457</v>
      </c>
      <c r="B652" t="s">
        <v>202</v>
      </c>
      <c r="C652" s="67">
        <v>35486</v>
      </c>
      <c r="D652" s="67">
        <v>35514</v>
      </c>
      <c r="E652" s="67">
        <v>35492</v>
      </c>
      <c r="F652" t="s">
        <v>249</v>
      </c>
      <c r="G652">
        <v>11.57</v>
      </c>
      <c r="H652" t="s">
        <v>202</v>
      </c>
      <c r="I652" t="s">
        <v>150</v>
      </c>
    </row>
    <row r="653" spans="1:9">
      <c r="A653">
        <v>10460</v>
      </c>
      <c r="B653" t="s">
        <v>194</v>
      </c>
      <c r="C653" s="67">
        <v>35489</v>
      </c>
      <c r="D653" s="67">
        <v>35517</v>
      </c>
      <c r="E653" s="67">
        <v>35492</v>
      </c>
      <c r="F653" t="s">
        <v>249</v>
      </c>
      <c r="G653">
        <v>16.27</v>
      </c>
      <c r="H653" t="s">
        <v>194</v>
      </c>
      <c r="I653" t="s">
        <v>148</v>
      </c>
    </row>
    <row r="654" spans="1:9">
      <c r="A654">
        <v>10462</v>
      </c>
      <c r="B654" t="s">
        <v>195</v>
      </c>
      <c r="C654" s="67">
        <v>35492</v>
      </c>
      <c r="D654" s="67">
        <v>35520</v>
      </c>
      <c r="E654" s="67">
        <v>35507</v>
      </c>
      <c r="F654" t="s">
        <v>249</v>
      </c>
      <c r="G654">
        <v>6.17</v>
      </c>
      <c r="H654" t="s">
        <v>195</v>
      </c>
      <c r="I654" t="s">
        <v>169</v>
      </c>
    </row>
    <row r="655" spans="1:9">
      <c r="A655">
        <v>10466</v>
      </c>
      <c r="B655" t="s">
        <v>210</v>
      </c>
      <c r="C655" s="67">
        <v>35495</v>
      </c>
      <c r="D655" s="67">
        <v>35523</v>
      </c>
      <c r="E655" s="67">
        <v>35502</v>
      </c>
      <c r="F655" t="s">
        <v>249</v>
      </c>
      <c r="G655">
        <v>11.93</v>
      </c>
      <c r="H655" t="s">
        <v>210</v>
      </c>
      <c r="I655" t="s">
        <v>137</v>
      </c>
    </row>
    <row r="656" spans="1:9">
      <c r="A656">
        <v>10469</v>
      </c>
      <c r="B656" t="s">
        <v>177</v>
      </c>
      <c r="C656" s="67">
        <v>35499</v>
      </c>
      <c r="D656" s="67">
        <v>35527</v>
      </c>
      <c r="E656" s="67">
        <v>35503</v>
      </c>
      <c r="F656" t="s">
        <v>249</v>
      </c>
      <c r="G656">
        <v>60.18</v>
      </c>
      <c r="H656" t="s">
        <v>177</v>
      </c>
      <c r="I656" t="s">
        <v>145</v>
      </c>
    </row>
    <row r="657" spans="1:9">
      <c r="A657">
        <v>10472</v>
      </c>
      <c r="B657" t="s">
        <v>214</v>
      </c>
      <c r="C657" s="67">
        <v>35501</v>
      </c>
      <c r="D657" s="67">
        <v>35529</v>
      </c>
      <c r="E657" s="67">
        <v>35508</v>
      </c>
      <c r="F657" t="s">
        <v>249</v>
      </c>
      <c r="G657">
        <v>4.2</v>
      </c>
      <c r="H657" t="s">
        <v>214</v>
      </c>
      <c r="I657" t="s">
        <v>169</v>
      </c>
    </row>
    <row r="658" spans="1:9">
      <c r="A658">
        <v>10475</v>
      </c>
      <c r="B658" t="s">
        <v>138</v>
      </c>
      <c r="C658" s="67">
        <v>35503</v>
      </c>
      <c r="D658" s="67">
        <v>35531</v>
      </c>
      <c r="E658" s="67">
        <v>35524</v>
      </c>
      <c r="F658" t="s">
        <v>249</v>
      </c>
      <c r="G658">
        <v>68.52</v>
      </c>
      <c r="H658" t="s">
        <v>138</v>
      </c>
      <c r="I658" t="s">
        <v>139</v>
      </c>
    </row>
    <row r="659" spans="1:9">
      <c r="A659">
        <v>10492</v>
      </c>
      <c r="B659" t="s">
        <v>188</v>
      </c>
      <c r="C659" s="67">
        <v>35521</v>
      </c>
      <c r="D659" s="67">
        <v>35549</v>
      </c>
      <c r="E659" s="67">
        <v>35531</v>
      </c>
      <c r="F659" t="s">
        <v>249</v>
      </c>
      <c r="G659">
        <v>62.89</v>
      </c>
      <c r="H659" t="s">
        <v>188</v>
      </c>
      <c r="I659" t="s">
        <v>172</v>
      </c>
    </row>
    <row r="660" spans="1:9">
      <c r="A660">
        <v>10497</v>
      </c>
      <c r="B660" t="s">
        <v>149</v>
      </c>
      <c r="C660" s="67">
        <v>35524</v>
      </c>
      <c r="D660" s="67">
        <v>35552</v>
      </c>
      <c r="E660" s="67">
        <v>35527</v>
      </c>
      <c r="F660" t="s">
        <v>249</v>
      </c>
      <c r="G660">
        <v>36.21</v>
      </c>
      <c r="H660" t="s">
        <v>149</v>
      </c>
      <c r="I660" t="s">
        <v>150</v>
      </c>
    </row>
    <row r="661" spans="1:9">
      <c r="A661">
        <v>10500</v>
      </c>
      <c r="B661" t="s">
        <v>178</v>
      </c>
      <c r="C661" s="67">
        <v>35529</v>
      </c>
      <c r="D661" s="67">
        <v>35557</v>
      </c>
      <c r="E661" s="67">
        <v>35537</v>
      </c>
      <c r="F661" t="s">
        <v>249</v>
      </c>
      <c r="G661">
        <v>42.68</v>
      </c>
      <c r="H661" t="s">
        <v>178</v>
      </c>
      <c r="I661" t="s">
        <v>154</v>
      </c>
    </row>
    <row r="662" spans="1:9">
      <c r="A662">
        <v>10502</v>
      </c>
      <c r="B662" t="s">
        <v>205</v>
      </c>
      <c r="C662" s="67">
        <v>35530</v>
      </c>
      <c r="D662" s="67">
        <v>35558</v>
      </c>
      <c r="E662" s="67">
        <v>35549</v>
      </c>
      <c r="F662" t="s">
        <v>249</v>
      </c>
      <c r="G662">
        <v>69.32</v>
      </c>
      <c r="H662" t="s">
        <v>205</v>
      </c>
      <c r="I662" t="s">
        <v>165</v>
      </c>
    </row>
    <row r="663" spans="1:9">
      <c r="A663">
        <v>10507</v>
      </c>
      <c r="B663" t="s">
        <v>179</v>
      </c>
      <c r="C663" s="67">
        <v>35535</v>
      </c>
      <c r="D663" s="67">
        <v>35563</v>
      </c>
      <c r="E663" s="67">
        <v>35542</v>
      </c>
      <c r="F663" t="s">
        <v>249</v>
      </c>
      <c r="G663">
        <v>47.45</v>
      </c>
      <c r="H663" t="s">
        <v>179</v>
      </c>
      <c r="I663" t="s">
        <v>165</v>
      </c>
    </row>
    <row r="664" spans="1:9">
      <c r="A664">
        <v>10509</v>
      </c>
      <c r="B664" t="s">
        <v>220</v>
      </c>
      <c r="C664" s="67">
        <v>35537</v>
      </c>
      <c r="D664" s="67">
        <v>35565</v>
      </c>
      <c r="E664" s="67">
        <v>35549</v>
      </c>
      <c r="F664" t="s">
        <v>249</v>
      </c>
      <c r="G664">
        <v>0.15</v>
      </c>
      <c r="H664" t="s">
        <v>220</v>
      </c>
      <c r="I664" t="s">
        <v>150</v>
      </c>
    </row>
    <row r="665" spans="1:9">
      <c r="A665">
        <v>10513</v>
      </c>
      <c r="B665" t="s">
        <v>161</v>
      </c>
      <c r="C665" s="67">
        <v>35542</v>
      </c>
      <c r="D665" s="67">
        <v>35584</v>
      </c>
      <c r="E665" s="67">
        <v>35548</v>
      </c>
      <c r="F665" t="s">
        <v>249</v>
      </c>
      <c r="G665">
        <v>105.65</v>
      </c>
      <c r="H665" t="s">
        <v>161</v>
      </c>
      <c r="I665" t="s">
        <v>150</v>
      </c>
    </row>
    <row r="666" spans="1:9">
      <c r="A666">
        <v>10515</v>
      </c>
      <c r="B666" t="s">
        <v>151</v>
      </c>
      <c r="C666" s="67">
        <v>35543</v>
      </c>
      <c r="D666" s="67">
        <v>35557</v>
      </c>
      <c r="E666" s="67">
        <v>35573</v>
      </c>
      <c r="F666" t="s">
        <v>249</v>
      </c>
      <c r="G666">
        <v>204.47</v>
      </c>
      <c r="H666" t="s">
        <v>151</v>
      </c>
      <c r="I666" t="s">
        <v>150</v>
      </c>
    </row>
    <row r="667" spans="1:9">
      <c r="A667">
        <v>10520</v>
      </c>
      <c r="B667" t="s">
        <v>186</v>
      </c>
      <c r="C667" s="67">
        <v>35549</v>
      </c>
      <c r="D667" s="67">
        <v>35577</v>
      </c>
      <c r="E667" s="67">
        <v>35551</v>
      </c>
      <c r="F667" t="s">
        <v>249</v>
      </c>
      <c r="G667">
        <v>13.37</v>
      </c>
      <c r="H667" t="s">
        <v>186</v>
      </c>
      <c r="I667" t="s">
        <v>187</v>
      </c>
    </row>
    <row r="668" spans="1:9">
      <c r="A668">
        <v>10522</v>
      </c>
      <c r="B668" t="s">
        <v>149</v>
      </c>
      <c r="C668" s="67">
        <v>35550</v>
      </c>
      <c r="D668" s="67">
        <v>35578</v>
      </c>
      <c r="E668" s="67">
        <v>35556</v>
      </c>
      <c r="F668" t="s">
        <v>249</v>
      </c>
      <c r="G668">
        <v>45.33</v>
      </c>
      <c r="H668" t="s">
        <v>149</v>
      </c>
      <c r="I668" t="s">
        <v>150</v>
      </c>
    </row>
    <row r="669" spans="1:9">
      <c r="A669">
        <v>10527</v>
      </c>
      <c r="B669" t="s">
        <v>151</v>
      </c>
      <c r="C669" s="67">
        <v>35555</v>
      </c>
      <c r="D669" s="67">
        <v>35583</v>
      </c>
      <c r="E669" s="67">
        <v>35557</v>
      </c>
      <c r="F669" t="s">
        <v>249</v>
      </c>
      <c r="G669">
        <v>41.9</v>
      </c>
      <c r="H669" t="s">
        <v>151</v>
      </c>
      <c r="I669" t="s">
        <v>150</v>
      </c>
    </row>
    <row r="670" spans="1:9">
      <c r="A670">
        <v>10531</v>
      </c>
      <c r="B670" t="s">
        <v>234</v>
      </c>
      <c r="C670" s="67">
        <v>35558</v>
      </c>
      <c r="D670" s="67">
        <v>35586</v>
      </c>
      <c r="E670" s="67">
        <v>35569</v>
      </c>
      <c r="F670" t="s">
        <v>249</v>
      </c>
      <c r="G670">
        <v>8.12</v>
      </c>
      <c r="H670" t="s">
        <v>234</v>
      </c>
      <c r="I670" t="s">
        <v>200</v>
      </c>
    </row>
    <row r="671" spans="1:9">
      <c r="A671">
        <v>10533</v>
      </c>
      <c r="B671" t="s">
        <v>194</v>
      </c>
      <c r="C671" s="67">
        <v>35562</v>
      </c>
      <c r="D671" s="67">
        <v>35590</v>
      </c>
      <c r="E671" s="67">
        <v>35572</v>
      </c>
      <c r="F671" t="s">
        <v>249</v>
      </c>
      <c r="G671">
        <v>188.04</v>
      </c>
      <c r="H671" t="s">
        <v>194</v>
      </c>
      <c r="I671" t="s">
        <v>148</v>
      </c>
    </row>
    <row r="672" spans="1:9">
      <c r="A672">
        <v>10535</v>
      </c>
      <c r="B672" t="s">
        <v>179</v>
      </c>
      <c r="C672" s="67">
        <v>35563</v>
      </c>
      <c r="D672" s="67">
        <v>35591</v>
      </c>
      <c r="E672" s="67">
        <v>35571</v>
      </c>
      <c r="F672" t="s">
        <v>249</v>
      </c>
      <c r="G672">
        <v>15.64</v>
      </c>
      <c r="H672" t="s">
        <v>179</v>
      </c>
      <c r="I672" t="s">
        <v>165</v>
      </c>
    </row>
    <row r="673" spans="1:9">
      <c r="A673">
        <v>10537</v>
      </c>
      <c r="B673" t="s">
        <v>192</v>
      </c>
      <c r="C673" s="67">
        <v>35564</v>
      </c>
      <c r="D673" s="67">
        <v>35578</v>
      </c>
      <c r="E673" s="67">
        <v>35569</v>
      </c>
      <c r="F673" t="s">
        <v>249</v>
      </c>
      <c r="G673">
        <v>78.85</v>
      </c>
      <c r="H673" t="s">
        <v>192</v>
      </c>
      <c r="I673" t="s">
        <v>141</v>
      </c>
    </row>
    <row r="674" spans="1:9">
      <c r="A674">
        <v>10541</v>
      </c>
      <c r="B674" t="s">
        <v>135</v>
      </c>
      <c r="C674" s="67">
        <v>35569</v>
      </c>
      <c r="D674" s="67">
        <v>35597</v>
      </c>
      <c r="E674" s="67">
        <v>35579</v>
      </c>
      <c r="F674" t="s">
        <v>249</v>
      </c>
      <c r="G674">
        <v>68.65</v>
      </c>
      <c r="H674" t="s">
        <v>135</v>
      </c>
      <c r="I674" t="s">
        <v>137</v>
      </c>
    </row>
    <row r="675" spans="1:9">
      <c r="A675">
        <v>10544</v>
      </c>
      <c r="B675" t="s">
        <v>166</v>
      </c>
      <c r="C675" s="67">
        <v>35571</v>
      </c>
      <c r="D675" s="67">
        <v>35599</v>
      </c>
      <c r="E675" s="67">
        <v>35580</v>
      </c>
      <c r="F675" t="s">
        <v>249</v>
      </c>
      <c r="G675">
        <v>24.91</v>
      </c>
      <c r="H675" t="s">
        <v>166</v>
      </c>
      <c r="I675" t="s">
        <v>145</v>
      </c>
    </row>
    <row r="676" spans="1:9">
      <c r="A676">
        <v>10549</v>
      </c>
      <c r="B676" t="s">
        <v>151</v>
      </c>
      <c r="C676" s="67">
        <v>35577</v>
      </c>
      <c r="D676" s="67">
        <v>35591</v>
      </c>
      <c r="E676" s="67">
        <v>35580</v>
      </c>
      <c r="F676" t="s">
        <v>249</v>
      </c>
      <c r="G676">
        <v>171.24</v>
      </c>
      <c r="H676" t="s">
        <v>151</v>
      </c>
      <c r="I676" t="s">
        <v>150</v>
      </c>
    </row>
    <row r="677" spans="1:9">
      <c r="A677">
        <v>10552</v>
      </c>
      <c r="B677" t="s">
        <v>209</v>
      </c>
      <c r="C677" s="67">
        <v>35579</v>
      </c>
      <c r="D677" s="67">
        <v>35607</v>
      </c>
      <c r="E677" s="67">
        <v>35586</v>
      </c>
      <c r="F677" t="s">
        <v>249</v>
      </c>
      <c r="G677">
        <v>83.22</v>
      </c>
      <c r="H677" t="s">
        <v>209</v>
      </c>
      <c r="I677" t="s">
        <v>208</v>
      </c>
    </row>
    <row r="678" spans="1:9">
      <c r="A678">
        <v>10556</v>
      </c>
      <c r="B678" t="s">
        <v>233</v>
      </c>
      <c r="C678" s="67">
        <v>35584</v>
      </c>
      <c r="D678" s="67">
        <v>35626</v>
      </c>
      <c r="E678" s="67">
        <v>35594</v>
      </c>
      <c r="F678" t="s">
        <v>249</v>
      </c>
      <c r="G678">
        <v>9.8</v>
      </c>
      <c r="H678" t="s">
        <v>233</v>
      </c>
      <c r="I678" t="s">
        <v>222</v>
      </c>
    </row>
    <row r="679" spans="1:9">
      <c r="A679">
        <v>10559</v>
      </c>
      <c r="B679" t="s">
        <v>155</v>
      </c>
      <c r="C679" s="67">
        <v>35586</v>
      </c>
      <c r="D679" s="67">
        <v>35614</v>
      </c>
      <c r="E679" s="67">
        <v>35594</v>
      </c>
      <c r="F679" t="s">
        <v>249</v>
      </c>
      <c r="G679">
        <v>8.05</v>
      </c>
      <c r="H679" t="s">
        <v>155</v>
      </c>
      <c r="I679" t="s">
        <v>154</v>
      </c>
    </row>
    <row r="680" spans="1:9">
      <c r="A680">
        <v>10560</v>
      </c>
      <c r="B680" t="s">
        <v>176</v>
      </c>
      <c r="C680" s="67">
        <v>35587</v>
      </c>
      <c r="D680" s="67">
        <v>35615</v>
      </c>
      <c r="E680" s="67">
        <v>35590</v>
      </c>
      <c r="F680" t="s">
        <v>249</v>
      </c>
      <c r="G680">
        <v>36.65</v>
      </c>
      <c r="H680" t="s">
        <v>176</v>
      </c>
      <c r="I680" t="s">
        <v>150</v>
      </c>
    </row>
    <row r="681" spans="1:9">
      <c r="A681">
        <v>10562</v>
      </c>
      <c r="B681" t="s">
        <v>229</v>
      </c>
      <c r="C681" s="67">
        <v>35590</v>
      </c>
      <c r="D681" s="67">
        <v>35618</v>
      </c>
      <c r="E681" s="67">
        <v>35593</v>
      </c>
      <c r="F681" t="s">
        <v>249</v>
      </c>
      <c r="G681">
        <v>22.95</v>
      </c>
      <c r="H681" t="s">
        <v>229</v>
      </c>
      <c r="I681" t="s">
        <v>160</v>
      </c>
    </row>
    <row r="682" spans="1:9">
      <c r="A682">
        <v>10566</v>
      </c>
      <c r="B682" t="s">
        <v>155</v>
      </c>
      <c r="C682" s="67">
        <v>35593</v>
      </c>
      <c r="D682" s="67">
        <v>35621</v>
      </c>
      <c r="E682" s="67">
        <v>35599</v>
      </c>
      <c r="F682" t="s">
        <v>249</v>
      </c>
      <c r="G682">
        <v>88.4</v>
      </c>
      <c r="H682" t="s">
        <v>155</v>
      </c>
      <c r="I682" t="s">
        <v>154</v>
      </c>
    </row>
    <row r="683" spans="1:9">
      <c r="A683">
        <v>10567</v>
      </c>
      <c r="B683" t="s">
        <v>156</v>
      </c>
      <c r="C683" s="67">
        <v>35593</v>
      </c>
      <c r="D683" s="67">
        <v>35621</v>
      </c>
      <c r="E683" s="67">
        <v>35598</v>
      </c>
      <c r="F683" t="s">
        <v>249</v>
      </c>
      <c r="G683">
        <v>33.97</v>
      </c>
      <c r="H683" t="s">
        <v>156</v>
      </c>
      <c r="I683" t="s">
        <v>157</v>
      </c>
    </row>
    <row r="684" spans="1:9">
      <c r="A684">
        <v>10569</v>
      </c>
      <c r="B684" t="s">
        <v>146</v>
      </c>
      <c r="C684" s="67">
        <v>35597</v>
      </c>
      <c r="D684" s="67">
        <v>35625</v>
      </c>
      <c r="E684" s="67">
        <v>35622</v>
      </c>
      <c r="F684" t="s">
        <v>249</v>
      </c>
      <c r="G684">
        <v>58.98</v>
      </c>
      <c r="H684" t="s">
        <v>146</v>
      </c>
      <c r="I684" t="s">
        <v>145</v>
      </c>
    </row>
    <row r="685" spans="1:9">
      <c r="A685">
        <v>10575</v>
      </c>
      <c r="B685" t="s">
        <v>231</v>
      </c>
      <c r="C685" s="67">
        <v>35601</v>
      </c>
      <c r="D685" s="67">
        <v>35615</v>
      </c>
      <c r="E685" s="67">
        <v>35611</v>
      </c>
      <c r="F685" t="s">
        <v>249</v>
      </c>
      <c r="G685">
        <v>127.34</v>
      </c>
      <c r="H685" t="s">
        <v>231</v>
      </c>
      <c r="I685" t="s">
        <v>150</v>
      </c>
    </row>
    <row r="686" spans="1:9">
      <c r="A686">
        <v>10581</v>
      </c>
      <c r="B686" t="s">
        <v>212</v>
      </c>
      <c r="C686" s="67">
        <v>35607</v>
      </c>
      <c r="D686" s="67">
        <v>35635</v>
      </c>
      <c r="E686" s="67">
        <v>35613</v>
      </c>
      <c r="F686" t="s">
        <v>249</v>
      </c>
      <c r="G686">
        <v>3.01</v>
      </c>
      <c r="H686" t="s">
        <v>212</v>
      </c>
      <c r="I686" t="s">
        <v>137</v>
      </c>
    </row>
    <row r="687" spans="1:9">
      <c r="A687">
        <v>10584</v>
      </c>
      <c r="B687" t="s">
        <v>155</v>
      </c>
      <c r="C687" s="67">
        <v>35611</v>
      </c>
      <c r="D687" s="67">
        <v>35639</v>
      </c>
      <c r="E687" s="67">
        <v>35615</v>
      </c>
      <c r="F687" t="s">
        <v>249</v>
      </c>
      <c r="G687">
        <v>59.14</v>
      </c>
      <c r="H687" t="s">
        <v>155</v>
      </c>
      <c r="I687" t="s">
        <v>154</v>
      </c>
    </row>
    <row r="688" spans="1:9">
      <c r="A688">
        <v>10585</v>
      </c>
      <c r="B688" t="s">
        <v>142</v>
      </c>
      <c r="C688" s="67">
        <v>35612</v>
      </c>
      <c r="D688" s="67">
        <v>35640</v>
      </c>
      <c r="E688" s="67">
        <v>35621</v>
      </c>
      <c r="F688" t="s">
        <v>249</v>
      </c>
      <c r="G688">
        <v>13.41</v>
      </c>
      <c r="H688" t="s">
        <v>142</v>
      </c>
      <c r="I688" t="s">
        <v>137</v>
      </c>
    </row>
    <row r="689" spans="1:9">
      <c r="A689">
        <v>10586</v>
      </c>
      <c r="B689" t="s">
        <v>229</v>
      </c>
      <c r="C689" s="67">
        <v>35613</v>
      </c>
      <c r="D689" s="67">
        <v>35641</v>
      </c>
      <c r="E689" s="67">
        <v>35620</v>
      </c>
      <c r="F689" t="s">
        <v>249</v>
      </c>
      <c r="G689">
        <v>0.48</v>
      </c>
      <c r="H689" t="s">
        <v>229</v>
      </c>
      <c r="I689" t="s">
        <v>160</v>
      </c>
    </row>
    <row r="690" spans="1:9">
      <c r="A690">
        <v>10587</v>
      </c>
      <c r="B690" t="s">
        <v>143</v>
      </c>
      <c r="C690" s="67">
        <v>35613</v>
      </c>
      <c r="D690" s="67">
        <v>35641</v>
      </c>
      <c r="E690" s="67">
        <v>35620</v>
      </c>
      <c r="F690" t="s">
        <v>249</v>
      </c>
      <c r="G690">
        <v>62.52</v>
      </c>
      <c r="H690" t="s">
        <v>143</v>
      </c>
      <c r="I690" t="s">
        <v>137</v>
      </c>
    </row>
    <row r="691" spans="1:9">
      <c r="A691">
        <v>10591</v>
      </c>
      <c r="B691" t="s">
        <v>221</v>
      </c>
      <c r="C691" s="67">
        <v>35618</v>
      </c>
      <c r="D691" s="67">
        <v>35632</v>
      </c>
      <c r="E691" s="67">
        <v>35627</v>
      </c>
      <c r="F691" t="s">
        <v>249</v>
      </c>
      <c r="G691">
        <v>55.92</v>
      </c>
      <c r="H691" t="s">
        <v>221</v>
      </c>
      <c r="I691" t="s">
        <v>222</v>
      </c>
    </row>
    <row r="692" spans="1:9">
      <c r="A692">
        <v>10592</v>
      </c>
      <c r="B692" t="s">
        <v>149</v>
      </c>
      <c r="C692" s="67">
        <v>35619</v>
      </c>
      <c r="D692" s="67">
        <v>35647</v>
      </c>
      <c r="E692" s="67">
        <v>35627</v>
      </c>
      <c r="F692" t="s">
        <v>249</v>
      </c>
      <c r="G692">
        <v>32.1</v>
      </c>
      <c r="H692" t="s">
        <v>149</v>
      </c>
      <c r="I692" t="s">
        <v>150</v>
      </c>
    </row>
    <row r="693" spans="1:9">
      <c r="A693">
        <v>10595</v>
      </c>
      <c r="B693" t="s">
        <v>182</v>
      </c>
      <c r="C693" s="67">
        <v>35621</v>
      </c>
      <c r="D693" s="67">
        <v>35649</v>
      </c>
      <c r="E693" s="67">
        <v>35625</v>
      </c>
      <c r="F693" t="s">
        <v>249</v>
      </c>
      <c r="G693">
        <v>96.78</v>
      </c>
      <c r="H693" t="s">
        <v>182</v>
      </c>
      <c r="I693" t="s">
        <v>183</v>
      </c>
    </row>
    <row r="694" spans="1:9">
      <c r="A694">
        <v>10596</v>
      </c>
      <c r="B694" t="s">
        <v>177</v>
      </c>
      <c r="C694" s="67">
        <v>35622</v>
      </c>
      <c r="D694" s="67">
        <v>35650</v>
      </c>
      <c r="E694" s="67">
        <v>35654</v>
      </c>
      <c r="F694" t="s">
        <v>249</v>
      </c>
      <c r="G694">
        <v>16.34</v>
      </c>
      <c r="H694" t="s">
        <v>177</v>
      </c>
      <c r="I694" t="s">
        <v>145</v>
      </c>
    </row>
    <row r="695" spans="1:9">
      <c r="A695">
        <v>10600</v>
      </c>
      <c r="B695" t="s">
        <v>185</v>
      </c>
      <c r="C695" s="67">
        <v>35627</v>
      </c>
      <c r="D695" s="67">
        <v>35655</v>
      </c>
      <c r="E695" s="67">
        <v>35632</v>
      </c>
      <c r="F695" t="s">
        <v>249</v>
      </c>
      <c r="G695">
        <v>45.13</v>
      </c>
      <c r="H695" t="s">
        <v>185</v>
      </c>
      <c r="I695" t="s">
        <v>145</v>
      </c>
    </row>
    <row r="696" spans="1:9">
      <c r="A696">
        <v>10601</v>
      </c>
      <c r="B696" t="s">
        <v>209</v>
      </c>
      <c r="C696" s="67">
        <v>35627</v>
      </c>
      <c r="D696" s="67">
        <v>35669</v>
      </c>
      <c r="E696" s="67">
        <v>35633</v>
      </c>
      <c r="F696" t="s">
        <v>249</v>
      </c>
      <c r="G696">
        <v>58.3</v>
      </c>
      <c r="H696" t="s">
        <v>209</v>
      </c>
      <c r="I696" t="s">
        <v>208</v>
      </c>
    </row>
    <row r="697" spans="1:9">
      <c r="A697">
        <v>10604</v>
      </c>
      <c r="B697" t="s">
        <v>203</v>
      </c>
      <c r="C697" s="67">
        <v>35629</v>
      </c>
      <c r="D697" s="67">
        <v>35657</v>
      </c>
      <c r="E697" s="67">
        <v>35640</v>
      </c>
      <c r="F697" t="s">
        <v>249</v>
      </c>
      <c r="G697">
        <v>7.46</v>
      </c>
      <c r="H697" t="s">
        <v>203</v>
      </c>
      <c r="I697" t="s">
        <v>175</v>
      </c>
    </row>
    <row r="698" spans="1:9">
      <c r="A698">
        <v>10607</v>
      </c>
      <c r="B698" t="s">
        <v>197</v>
      </c>
      <c r="C698" s="67">
        <v>35633</v>
      </c>
      <c r="D698" s="67">
        <v>35661</v>
      </c>
      <c r="E698" s="67">
        <v>35636</v>
      </c>
      <c r="F698" t="s">
        <v>249</v>
      </c>
      <c r="G698">
        <v>200.24</v>
      </c>
      <c r="H698" t="s">
        <v>197</v>
      </c>
      <c r="I698" t="s">
        <v>145</v>
      </c>
    </row>
    <row r="699" spans="1:9">
      <c r="A699">
        <v>10610</v>
      </c>
      <c r="B699" t="s">
        <v>178</v>
      </c>
      <c r="C699" s="67">
        <v>35636</v>
      </c>
      <c r="D699" s="67">
        <v>35664</v>
      </c>
      <c r="E699" s="67">
        <v>35648</v>
      </c>
      <c r="F699" t="s">
        <v>249</v>
      </c>
      <c r="G699">
        <v>26.78</v>
      </c>
      <c r="H699" t="s">
        <v>178</v>
      </c>
      <c r="I699" t="s">
        <v>154</v>
      </c>
    </row>
    <row r="700" spans="1:9">
      <c r="A700">
        <v>10618</v>
      </c>
      <c r="B700" t="s">
        <v>171</v>
      </c>
      <c r="C700" s="67">
        <v>35643</v>
      </c>
      <c r="D700" s="67">
        <v>35685</v>
      </c>
      <c r="E700" s="67">
        <v>35650</v>
      </c>
      <c r="F700" t="s">
        <v>249</v>
      </c>
      <c r="G700">
        <v>154.68</v>
      </c>
      <c r="H700" t="s">
        <v>171</v>
      </c>
      <c r="I700" t="s">
        <v>172</v>
      </c>
    </row>
    <row r="701" spans="1:9">
      <c r="A701">
        <v>10625</v>
      </c>
      <c r="B701" t="s">
        <v>246</v>
      </c>
      <c r="C701" s="67">
        <v>35650</v>
      </c>
      <c r="D701" s="67">
        <v>35678</v>
      </c>
      <c r="E701" s="67">
        <v>35656</v>
      </c>
      <c r="F701" t="s">
        <v>249</v>
      </c>
      <c r="G701">
        <v>43.9</v>
      </c>
      <c r="H701" t="s">
        <v>246</v>
      </c>
      <c r="I701" t="s">
        <v>165</v>
      </c>
    </row>
    <row r="702" spans="1:9">
      <c r="A702">
        <v>10631</v>
      </c>
      <c r="B702" t="s">
        <v>178</v>
      </c>
      <c r="C702" s="67">
        <v>35656</v>
      </c>
      <c r="D702" s="67">
        <v>35684</v>
      </c>
      <c r="E702" s="67">
        <v>35657</v>
      </c>
      <c r="F702" t="s">
        <v>249</v>
      </c>
      <c r="G702">
        <v>0.87</v>
      </c>
      <c r="H702" t="s">
        <v>178</v>
      </c>
      <c r="I702" t="s">
        <v>154</v>
      </c>
    </row>
    <row r="703" spans="1:9">
      <c r="A703">
        <v>10632</v>
      </c>
      <c r="B703" t="s">
        <v>161</v>
      </c>
      <c r="C703" s="67">
        <v>35656</v>
      </c>
      <c r="D703" s="67">
        <v>35684</v>
      </c>
      <c r="E703" s="67">
        <v>35661</v>
      </c>
      <c r="F703" t="s">
        <v>249</v>
      </c>
      <c r="G703">
        <v>41.38</v>
      </c>
      <c r="H703" t="s">
        <v>161</v>
      </c>
      <c r="I703" t="s">
        <v>150</v>
      </c>
    </row>
    <row r="704" spans="1:9">
      <c r="A704">
        <v>10636</v>
      </c>
      <c r="B704" t="s">
        <v>190</v>
      </c>
      <c r="C704" s="67">
        <v>35661</v>
      </c>
      <c r="D704" s="67">
        <v>35689</v>
      </c>
      <c r="E704" s="67">
        <v>35668</v>
      </c>
      <c r="F704" t="s">
        <v>249</v>
      </c>
      <c r="G704">
        <v>1.15</v>
      </c>
      <c r="H704" t="s">
        <v>190</v>
      </c>
      <c r="I704" t="s">
        <v>191</v>
      </c>
    </row>
    <row r="705" spans="1:9">
      <c r="A705">
        <v>10637</v>
      </c>
      <c r="B705" t="s">
        <v>184</v>
      </c>
      <c r="C705" s="67">
        <v>35661</v>
      </c>
      <c r="D705" s="67">
        <v>35689</v>
      </c>
      <c r="E705" s="67">
        <v>35668</v>
      </c>
      <c r="F705" t="s">
        <v>249</v>
      </c>
      <c r="G705">
        <v>201.29</v>
      </c>
      <c r="H705" t="s">
        <v>184</v>
      </c>
      <c r="I705" t="s">
        <v>137</v>
      </c>
    </row>
    <row r="706" spans="1:9">
      <c r="A706">
        <v>10638</v>
      </c>
      <c r="B706" t="s">
        <v>207</v>
      </c>
      <c r="C706" s="67">
        <v>35662</v>
      </c>
      <c r="D706" s="67">
        <v>35690</v>
      </c>
      <c r="E706" s="67">
        <v>35674</v>
      </c>
      <c r="F706" t="s">
        <v>249</v>
      </c>
      <c r="G706">
        <v>158.44</v>
      </c>
      <c r="H706" t="s">
        <v>207</v>
      </c>
      <c r="I706" t="s">
        <v>208</v>
      </c>
    </row>
    <row r="707" spans="1:9">
      <c r="A707">
        <v>10640</v>
      </c>
      <c r="B707" t="s">
        <v>161</v>
      </c>
      <c r="C707" s="67">
        <v>35663</v>
      </c>
      <c r="D707" s="67">
        <v>35691</v>
      </c>
      <c r="E707" s="67">
        <v>35670</v>
      </c>
      <c r="F707" t="s">
        <v>249</v>
      </c>
      <c r="G707">
        <v>23.55</v>
      </c>
      <c r="H707" t="s">
        <v>161</v>
      </c>
      <c r="I707" t="s">
        <v>150</v>
      </c>
    </row>
    <row r="708" spans="1:9">
      <c r="A708">
        <v>10643</v>
      </c>
      <c r="B708" t="s">
        <v>230</v>
      </c>
      <c r="C708" s="67">
        <v>35667</v>
      </c>
      <c r="D708" s="67">
        <v>35695</v>
      </c>
      <c r="E708" s="67">
        <v>35675</v>
      </c>
      <c r="F708" t="s">
        <v>249</v>
      </c>
      <c r="G708">
        <v>29.46</v>
      </c>
      <c r="H708" t="s">
        <v>230</v>
      </c>
      <c r="I708" t="s">
        <v>150</v>
      </c>
    </row>
    <row r="709" spans="1:9">
      <c r="A709">
        <v>10645</v>
      </c>
      <c r="B709" t="s">
        <v>135</v>
      </c>
      <c r="C709" s="67">
        <v>35668</v>
      </c>
      <c r="D709" s="67">
        <v>35696</v>
      </c>
      <c r="E709" s="67">
        <v>35675</v>
      </c>
      <c r="F709" t="s">
        <v>249</v>
      </c>
      <c r="G709">
        <v>12.41</v>
      </c>
      <c r="H709" t="s">
        <v>135</v>
      </c>
      <c r="I709" t="s">
        <v>137</v>
      </c>
    </row>
    <row r="710" spans="1:9">
      <c r="A710">
        <v>10653</v>
      </c>
      <c r="B710" t="s">
        <v>176</v>
      </c>
      <c r="C710" s="67">
        <v>35675</v>
      </c>
      <c r="D710" s="67">
        <v>35703</v>
      </c>
      <c r="E710" s="67">
        <v>35692</v>
      </c>
      <c r="F710" t="s">
        <v>249</v>
      </c>
      <c r="G710">
        <v>93.25</v>
      </c>
      <c r="H710" t="s">
        <v>176</v>
      </c>
      <c r="I710" t="s">
        <v>150</v>
      </c>
    </row>
    <row r="711" spans="1:9">
      <c r="A711">
        <v>10654</v>
      </c>
      <c r="B711" t="s">
        <v>147</v>
      </c>
      <c r="C711" s="67">
        <v>35675</v>
      </c>
      <c r="D711" s="67">
        <v>35703</v>
      </c>
      <c r="E711" s="67">
        <v>35684</v>
      </c>
      <c r="F711" t="s">
        <v>249</v>
      </c>
      <c r="G711">
        <v>55.26</v>
      </c>
      <c r="H711" t="s">
        <v>147</v>
      </c>
      <c r="I711" t="s">
        <v>148</v>
      </c>
    </row>
    <row r="712" spans="1:9">
      <c r="A712">
        <v>10656</v>
      </c>
      <c r="B712" t="s">
        <v>215</v>
      </c>
      <c r="C712" s="67">
        <v>35677</v>
      </c>
      <c r="D712" s="67">
        <v>35705</v>
      </c>
      <c r="E712" s="67">
        <v>35683</v>
      </c>
      <c r="F712" t="s">
        <v>249</v>
      </c>
      <c r="G712">
        <v>57.15</v>
      </c>
      <c r="H712" t="s">
        <v>215</v>
      </c>
      <c r="I712" t="s">
        <v>145</v>
      </c>
    </row>
    <row r="713" spans="1:9">
      <c r="A713">
        <v>10658</v>
      </c>
      <c r="B713" t="s">
        <v>151</v>
      </c>
      <c r="C713" s="67">
        <v>35678</v>
      </c>
      <c r="D713" s="67">
        <v>35706</v>
      </c>
      <c r="E713" s="67">
        <v>35681</v>
      </c>
      <c r="F713" t="s">
        <v>249</v>
      </c>
      <c r="G713">
        <v>364.15</v>
      </c>
      <c r="H713" t="s">
        <v>151</v>
      </c>
      <c r="I713" t="s">
        <v>150</v>
      </c>
    </row>
    <row r="714" spans="1:9">
      <c r="A714">
        <v>10660</v>
      </c>
      <c r="B714" t="s">
        <v>185</v>
      </c>
      <c r="C714" s="67">
        <v>35681</v>
      </c>
      <c r="D714" s="67">
        <v>35709</v>
      </c>
      <c r="E714" s="67">
        <v>35718</v>
      </c>
      <c r="F714" t="s">
        <v>249</v>
      </c>
      <c r="G714">
        <v>111.29</v>
      </c>
      <c r="H714" t="s">
        <v>185</v>
      </c>
      <c r="I714" t="s">
        <v>145</v>
      </c>
    </row>
    <row r="715" spans="1:9">
      <c r="A715">
        <v>10667</v>
      </c>
      <c r="B715" t="s">
        <v>182</v>
      </c>
      <c r="C715" s="67">
        <v>35685</v>
      </c>
      <c r="D715" s="67">
        <v>35713</v>
      </c>
      <c r="E715" s="67">
        <v>35692</v>
      </c>
      <c r="F715" t="s">
        <v>249</v>
      </c>
      <c r="G715">
        <v>78.09</v>
      </c>
      <c r="H715" t="s">
        <v>182</v>
      </c>
      <c r="I715" t="s">
        <v>183</v>
      </c>
    </row>
    <row r="716" spans="1:9">
      <c r="A716">
        <v>10669</v>
      </c>
      <c r="B716" t="s">
        <v>233</v>
      </c>
      <c r="C716" s="67">
        <v>35688</v>
      </c>
      <c r="D716" s="67">
        <v>35716</v>
      </c>
      <c r="E716" s="67">
        <v>35695</v>
      </c>
      <c r="F716" t="s">
        <v>249</v>
      </c>
      <c r="G716">
        <v>24.39</v>
      </c>
      <c r="H716" t="s">
        <v>233</v>
      </c>
      <c r="I716" t="s">
        <v>222</v>
      </c>
    </row>
    <row r="717" spans="1:9">
      <c r="A717">
        <v>10670</v>
      </c>
      <c r="B717" t="s">
        <v>176</v>
      </c>
      <c r="C717" s="67">
        <v>35689</v>
      </c>
      <c r="D717" s="67">
        <v>35717</v>
      </c>
      <c r="E717" s="67">
        <v>35691</v>
      </c>
      <c r="F717" t="s">
        <v>249</v>
      </c>
      <c r="G717">
        <v>203.48</v>
      </c>
      <c r="H717" t="s">
        <v>176</v>
      </c>
      <c r="I717" t="s">
        <v>150</v>
      </c>
    </row>
    <row r="718" spans="1:9">
      <c r="A718">
        <v>10671</v>
      </c>
      <c r="B718" t="s">
        <v>238</v>
      </c>
      <c r="C718" s="67">
        <v>35690</v>
      </c>
      <c r="D718" s="67">
        <v>35718</v>
      </c>
      <c r="E718" s="67">
        <v>35697</v>
      </c>
      <c r="F718" t="s">
        <v>249</v>
      </c>
      <c r="G718">
        <v>30.34</v>
      </c>
      <c r="H718" t="s">
        <v>238</v>
      </c>
      <c r="I718" t="s">
        <v>154</v>
      </c>
    </row>
    <row r="719" spans="1:9">
      <c r="A719">
        <v>10673</v>
      </c>
      <c r="B719" t="s">
        <v>242</v>
      </c>
      <c r="C719" s="67">
        <v>35691</v>
      </c>
      <c r="D719" s="67">
        <v>35719</v>
      </c>
      <c r="E719" s="67">
        <v>35692</v>
      </c>
      <c r="F719" t="s">
        <v>249</v>
      </c>
      <c r="G719">
        <v>22.76</v>
      </c>
      <c r="H719" t="s">
        <v>242</v>
      </c>
      <c r="I719" t="s">
        <v>191</v>
      </c>
    </row>
    <row r="720" spans="1:9">
      <c r="A720">
        <v>10680</v>
      </c>
      <c r="B720" t="s">
        <v>198</v>
      </c>
      <c r="C720" s="67">
        <v>35697</v>
      </c>
      <c r="D720" s="67">
        <v>35725</v>
      </c>
      <c r="E720" s="67">
        <v>35699</v>
      </c>
      <c r="F720" t="s">
        <v>249</v>
      </c>
      <c r="G720">
        <v>26.61</v>
      </c>
      <c r="H720" t="s">
        <v>198</v>
      </c>
      <c r="I720" t="s">
        <v>145</v>
      </c>
    </row>
    <row r="721" spans="1:9">
      <c r="A721">
        <v>10683</v>
      </c>
      <c r="B721" t="s">
        <v>223</v>
      </c>
      <c r="C721" s="67">
        <v>35699</v>
      </c>
      <c r="D721" s="67">
        <v>35727</v>
      </c>
      <c r="E721" s="67">
        <v>35704</v>
      </c>
      <c r="F721" t="s">
        <v>249</v>
      </c>
      <c r="G721">
        <v>4.4</v>
      </c>
      <c r="H721" t="s">
        <v>223</v>
      </c>
      <c r="I721" t="s">
        <v>154</v>
      </c>
    </row>
    <row r="722" spans="1:9">
      <c r="A722">
        <v>10684</v>
      </c>
      <c r="B722" t="s">
        <v>189</v>
      </c>
      <c r="C722" s="67">
        <v>35699</v>
      </c>
      <c r="D722" s="67">
        <v>35727</v>
      </c>
      <c r="E722" s="67">
        <v>35703</v>
      </c>
      <c r="F722" t="s">
        <v>249</v>
      </c>
      <c r="G722">
        <v>145.63</v>
      </c>
      <c r="H722" t="s">
        <v>189</v>
      </c>
      <c r="I722" t="s">
        <v>150</v>
      </c>
    </row>
    <row r="723" spans="1:9">
      <c r="A723">
        <v>10686</v>
      </c>
      <c r="B723" t="s">
        <v>193</v>
      </c>
      <c r="C723" s="67">
        <v>35703</v>
      </c>
      <c r="D723" s="67">
        <v>35731</v>
      </c>
      <c r="E723" s="67">
        <v>35711</v>
      </c>
      <c r="F723" t="s">
        <v>249</v>
      </c>
      <c r="G723">
        <v>96.5</v>
      </c>
      <c r="H723" t="s">
        <v>193</v>
      </c>
      <c r="I723" t="s">
        <v>183</v>
      </c>
    </row>
    <row r="724" spans="1:9">
      <c r="A724">
        <v>10690</v>
      </c>
      <c r="B724" t="s">
        <v>135</v>
      </c>
      <c r="C724" s="67">
        <v>35705</v>
      </c>
      <c r="D724" s="67">
        <v>35733</v>
      </c>
      <c r="E724" s="67">
        <v>35706</v>
      </c>
      <c r="F724" t="s">
        <v>249</v>
      </c>
      <c r="G724">
        <v>15.8</v>
      </c>
      <c r="H724" t="s">
        <v>135</v>
      </c>
      <c r="I724" t="s">
        <v>137</v>
      </c>
    </row>
    <row r="725" spans="1:9">
      <c r="A725">
        <v>10695</v>
      </c>
      <c r="B725" t="s">
        <v>242</v>
      </c>
      <c r="C725" s="67">
        <v>35710</v>
      </c>
      <c r="D725" s="67">
        <v>35752</v>
      </c>
      <c r="E725" s="67">
        <v>35717</v>
      </c>
      <c r="F725" t="s">
        <v>249</v>
      </c>
      <c r="G725">
        <v>16.72</v>
      </c>
      <c r="H725" t="s">
        <v>242</v>
      </c>
      <c r="I725" t="s">
        <v>191</v>
      </c>
    </row>
    <row r="726" spans="1:9">
      <c r="A726">
        <v>10697</v>
      </c>
      <c r="B726" t="s">
        <v>207</v>
      </c>
      <c r="C726" s="67">
        <v>35711</v>
      </c>
      <c r="D726" s="67">
        <v>35739</v>
      </c>
      <c r="E726" s="67">
        <v>35717</v>
      </c>
      <c r="F726" t="s">
        <v>249</v>
      </c>
      <c r="G726">
        <v>45.52</v>
      </c>
      <c r="H726" t="s">
        <v>207</v>
      </c>
      <c r="I726" t="s">
        <v>208</v>
      </c>
    </row>
    <row r="727" spans="1:9">
      <c r="A727">
        <v>10698</v>
      </c>
      <c r="B727" t="s">
        <v>182</v>
      </c>
      <c r="C727" s="67">
        <v>35712</v>
      </c>
      <c r="D727" s="67">
        <v>35740</v>
      </c>
      <c r="E727" s="67">
        <v>35720</v>
      </c>
      <c r="F727" t="s">
        <v>249</v>
      </c>
      <c r="G727">
        <v>272.47</v>
      </c>
      <c r="H727" t="s">
        <v>182</v>
      </c>
      <c r="I727" t="s">
        <v>183</v>
      </c>
    </row>
    <row r="728" spans="1:9">
      <c r="A728">
        <v>10700</v>
      </c>
      <c r="B728" t="s">
        <v>197</v>
      </c>
      <c r="C728" s="67">
        <v>35713</v>
      </c>
      <c r="D728" s="67">
        <v>35741</v>
      </c>
      <c r="E728" s="67">
        <v>35719</v>
      </c>
      <c r="F728" t="s">
        <v>249</v>
      </c>
      <c r="G728">
        <v>65.1</v>
      </c>
      <c r="H728" t="s">
        <v>197</v>
      </c>
      <c r="I728" t="s">
        <v>145</v>
      </c>
    </row>
    <row r="729" spans="1:9">
      <c r="A729">
        <v>10702</v>
      </c>
      <c r="B729" t="s">
        <v>230</v>
      </c>
      <c r="C729" s="67">
        <v>35716</v>
      </c>
      <c r="D729" s="67">
        <v>35758</v>
      </c>
      <c r="E729" s="67">
        <v>35724</v>
      </c>
      <c r="F729" t="s">
        <v>249</v>
      </c>
      <c r="G729">
        <v>23.94</v>
      </c>
      <c r="H729" t="s">
        <v>230</v>
      </c>
      <c r="I729" t="s">
        <v>150</v>
      </c>
    </row>
    <row r="730" spans="1:9">
      <c r="A730">
        <v>10704</v>
      </c>
      <c r="B730" t="s">
        <v>184</v>
      </c>
      <c r="C730" s="67">
        <v>35717</v>
      </c>
      <c r="D730" s="67">
        <v>35745</v>
      </c>
      <c r="E730" s="67">
        <v>35741</v>
      </c>
      <c r="F730" t="s">
        <v>249</v>
      </c>
      <c r="G730">
        <v>4.78</v>
      </c>
      <c r="H730" t="s">
        <v>184</v>
      </c>
      <c r="I730" t="s">
        <v>137</v>
      </c>
    </row>
    <row r="731" spans="1:9">
      <c r="A731">
        <v>10710</v>
      </c>
      <c r="B731" t="s">
        <v>241</v>
      </c>
      <c r="C731" s="67">
        <v>35723</v>
      </c>
      <c r="D731" s="67">
        <v>35751</v>
      </c>
      <c r="E731" s="67">
        <v>35726</v>
      </c>
      <c r="F731" t="s">
        <v>249</v>
      </c>
      <c r="G731">
        <v>4.98</v>
      </c>
      <c r="H731" t="s">
        <v>241</v>
      </c>
      <c r="I731" t="s">
        <v>160</v>
      </c>
    </row>
    <row r="732" spans="1:9">
      <c r="A732">
        <v>10712</v>
      </c>
      <c r="B732" t="s">
        <v>156</v>
      </c>
      <c r="C732" s="67">
        <v>35724</v>
      </c>
      <c r="D732" s="67">
        <v>35752</v>
      </c>
      <c r="E732" s="67">
        <v>35734</v>
      </c>
      <c r="F732" t="s">
        <v>249</v>
      </c>
      <c r="G732">
        <v>89.93</v>
      </c>
      <c r="H732" t="s">
        <v>156</v>
      </c>
      <c r="I732" t="s">
        <v>157</v>
      </c>
    </row>
    <row r="733" spans="1:9">
      <c r="A733">
        <v>10713</v>
      </c>
      <c r="B733" t="s">
        <v>197</v>
      </c>
      <c r="C733" s="67">
        <v>35725</v>
      </c>
      <c r="D733" s="67">
        <v>35753</v>
      </c>
      <c r="E733" s="67">
        <v>35727</v>
      </c>
      <c r="F733" t="s">
        <v>249</v>
      </c>
      <c r="G733">
        <v>167.05</v>
      </c>
      <c r="H733" t="s">
        <v>197</v>
      </c>
      <c r="I733" t="s">
        <v>145</v>
      </c>
    </row>
    <row r="734" spans="1:9">
      <c r="A734">
        <v>10715</v>
      </c>
      <c r="B734" t="s">
        <v>204</v>
      </c>
      <c r="C734" s="67">
        <v>35726</v>
      </c>
      <c r="D734" s="67">
        <v>35740</v>
      </c>
      <c r="E734" s="67">
        <v>35732</v>
      </c>
      <c r="F734" t="s">
        <v>249</v>
      </c>
      <c r="G734">
        <v>63.2</v>
      </c>
      <c r="H734" t="s">
        <v>204</v>
      </c>
      <c r="I734" t="s">
        <v>154</v>
      </c>
    </row>
    <row r="735" spans="1:9">
      <c r="A735">
        <v>10722</v>
      </c>
      <c r="B735" t="s">
        <v>197</v>
      </c>
      <c r="C735" s="67">
        <v>35732</v>
      </c>
      <c r="D735" s="67">
        <v>35774</v>
      </c>
      <c r="E735" s="67">
        <v>35738</v>
      </c>
      <c r="F735" t="s">
        <v>249</v>
      </c>
      <c r="G735">
        <v>74.58</v>
      </c>
      <c r="H735" t="s">
        <v>197</v>
      </c>
      <c r="I735" t="s">
        <v>145</v>
      </c>
    </row>
    <row r="736" spans="1:9">
      <c r="A736">
        <v>10723</v>
      </c>
      <c r="B736" t="s">
        <v>177</v>
      </c>
      <c r="C736" s="67">
        <v>35733</v>
      </c>
      <c r="D736" s="67">
        <v>35761</v>
      </c>
      <c r="E736" s="67">
        <v>35759</v>
      </c>
      <c r="F736" t="s">
        <v>249</v>
      </c>
      <c r="G736">
        <v>21.72</v>
      </c>
      <c r="H736" t="s">
        <v>177</v>
      </c>
      <c r="I736" t="s">
        <v>145</v>
      </c>
    </row>
    <row r="737" spans="1:9">
      <c r="A737">
        <v>10726</v>
      </c>
      <c r="B737" t="s">
        <v>240</v>
      </c>
      <c r="C737" s="67">
        <v>35737</v>
      </c>
      <c r="D737" s="67">
        <v>35751</v>
      </c>
      <c r="E737" s="67">
        <v>35769</v>
      </c>
      <c r="F737" t="s">
        <v>249</v>
      </c>
      <c r="G737">
        <v>16.56</v>
      </c>
      <c r="H737" t="s">
        <v>240</v>
      </c>
      <c r="I737" t="s">
        <v>169</v>
      </c>
    </row>
    <row r="738" spans="1:9">
      <c r="A738">
        <v>10727</v>
      </c>
      <c r="B738" t="s">
        <v>229</v>
      </c>
      <c r="C738" s="67">
        <v>35737</v>
      </c>
      <c r="D738" s="67">
        <v>35765</v>
      </c>
      <c r="E738" s="67">
        <v>35769</v>
      </c>
      <c r="F738" t="s">
        <v>249</v>
      </c>
      <c r="G738">
        <v>89.9</v>
      </c>
      <c r="H738" t="s">
        <v>229</v>
      </c>
      <c r="I738" t="s">
        <v>160</v>
      </c>
    </row>
    <row r="739" spans="1:9">
      <c r="A739">
        <v>10730</v>
      </c>
      <c r="B739" t="s">
        <v>204</v>
      </c>
      <c r="C739" s="67">
        <v>35739</v>
      </c>
      <c r="D739" s="67">
        <v>35767</v>
      </c>
      <c r="E739" s="67">
        <v>35748</v>
      </c>
      <c r="F739" t="s">
        <v>249</v>
      </c>
      <c r="G739">
        <v>20.12</v>
      </c>
      <c r="H739" t="s">
        <v>204</v>
      </c>
      <c r="I739" t="s">
        <v>154</v>
      </c>
    </row>
    <row r="740" spans="1:9">
      <c r="A740">
        <v>10731</v>
      </c>
      <c r="B740" t="s">
        <v>140</v>
      </c>
      <c r="C740" s="67">
        <v>35740</v>
      </c>
      <c r="D740" s="67">
        <v>35768</v>
      </c>
      <c r="E740" s="67">
        <v>35748</v>
      </c>
      <c r="F740" t="s">
        <v>249</v>
      </c>
      <c r="G740">
        <v>96.65</v>
      </c>
      <c r="H740" t="s">
        <v>140</v>
      </c>
      <c r="I740" t="s">
        <v>141</v>
      </c>
    </row>
    <row r="741" spans="1:9">
      <c r="A741">
        <v>10732</v>
      </c>
      <c r="B741" t="s">
        <v>204</v>
      </c>
      <c r="C741" s="67">
        <v>35740</v>
      </c>
      <c r="D741" s="67">
        <v>35768</v>
      </c>
      <c r="E741" s="67">
        <v>35741</v>
      </c>
      <c r="F741" t="s">
        <v>249</v>
      </c>
      <c r="G741">
        <v>16.97</v>
      </c>
      <c r="H741" t="s">
        <v>204</v>
      </c>
      <c r="I741" t="s">
        <v>154</v>
      </c>
    </row>
    <row r="742" spans="1:9">
      <c r="A742">
        <v>10738</v>
      </c>
      <c r="B742" t="s">
        <v>237</v>
      </c>
      <c r="C742" s="67">
        <v>35746</v>
      </c>
      <c r="D742" s="67">
        <v>35774</v>
      </c>
      <c r="E742" s="67">
        <v>35752</v>
      </c>
      <c r="F742" t="s">
        <v>249</v>
      </c>
      <c r="G742">
        <v>2.91</v>
      </c>
      <c r="H742" t="s">
        <v>237</v>
      </c>
      <c r="I742" t="s">
        <v>154</v>
      </c>
    </row>
    <row r="743" spans="1:9">
      <c r="A743">
        <v>10744</v>
      </c>
      <c r="B743" t="s">
        <v>221</v>
      </c>
      <c r="C743" s="67">
        <v>35751</v>
      </c>
      <c r="D743" s="67">
        <v>35779</v>
      </c>
      <c r="E743" s="67">
        <v>35758</v>
      </c>
      <c r="F743" t="s">
        <v>249</v>
      </c>
      <c r="G743">
        <v>69.19</v>
      </c>
      <c r="H743" t="s">
        <v>221</v>
      </c>
      <c r="I743" t="s">
        <v>222</v>
      </c>
    </row>
    <row r="744" spans="1:9">
      <c r="A744">
        <v>10745</v>
      </c>
      <c r="B744" t="s">
        <v>151</v>
      </c>
      <c r="C744" s="67">
        <v>35752</v>
      </c>
      <c r="D744" s="67">
        <v>35780</v>
      </c>
      <c r="E744" s="67">
        <v>35761</v>
      </c>
      <c r="F744" t="s">
        <v>249</v>
      </c>
      <c r="G744">
        <v>3.52</v>
      </c>
      <c r="H744" t="s">
        <v>151</v>
      </c>
      <c r="I744" t="s">
        <v>150</v>
      </c>
    </row>
    <row r="745" spans="1:9">
      <c r="A745">
        <v>10747</v>
      </c>
      <c r="B745" t="s">
        <v>193</v>
      </c>
      <c r="C745" s="67">
        <v>35753</v>
      </c>
      <c r="D745" s="67">
        <v>35781</v>
      </c>
      <c r="E745" s="67">
        <v>35760</v>
      </c>
      <c r="F745" t="s">
        <v>249</v>
      </c>
      <c r="G745">
        <v>117.33</v>
      </c>
      <c r="H745" t="s">
        <v>193</v>
      </c>
      <c r="I745" t="s">
        <v>183</v>
      </c>
    </row>
    <row r="746" spans="1:9">
      <c r="A746">
        <v>10748</v>
      </c>
      <c r="B746" t="s">
        <v>197</v>
      </c>
      <c r="C746" s="67">
        <v>35754</v>
      </c>
      <c r="D746" s="67">
        <v>35782</v>
      </c>
      <c r="E746" s="67">
        <v>35762</v>
      </c>
      <c r="F746" t="s">
        <v>249</v>
      </c>
      <c r="G746">
        <v>232.55</v>
      </c>
      <c r="H746" t="s">
        <v>197</v>
      </c>
      <c r="I746" t="s">
        <v>145</v>
      </c>
    </row>
    <row r="747" spans="1:9">
      <c r="A747">
        <v>10750</v>
      </c>
      <c r="B747" t="s">
        <v>190</v>
      </c>
      <c r="C747" s="67">
        <v>35755</v>
      </c>
      <c r="D747" s="67">
        <v>35783</v>
      </c>
      <c r="E747" s="67">
        <v>35758</v>
      </c>
      <c r="F747" t="s">
        <v>249</v>
      </c>
      <c r="G747">
        <v>79.3</v>
      </c>
      <c r="H747" t="s">
        <v>190</v>
      </c>
      <c r="I747" t="s">
        <v>191</v>
      </c>
    </row>
    <row r="748" spans="1:9">
      <c r="A748">
        <v>10753</v>
      </c>
      <c r="B748" t="s">
        <v>241</v>
      </c>
      <c r="C748" s="67">
        <v>35759</v>
      </c>
      <c r="D748" s="67">
        <v>35787</v>
      </c>
      <c r="E748" s="67">
        <v>35761</v>
      </c>
      <c r="F748" t="s">
        <v>249</v>
      </c>
      <c r="G748">
        <v>7.7</v>
      </c>
      <c r="H748" t="s">
        <v>241</v>
      </c>
      <c r="I748" t="s">
        <v>160</v>
      </c>
    </row>
    <row r="749" spans="1:9">
      <c r="A749">
        <v>10757</v>
      </c>
      <c r="B749" t="s">
        <v>197</v>
      </c>
      <c r="C749" s="67">
        <v>35761</v>
      </c>
      <c r="D749" s="67">
        <v>35789</v>
      </c>
      <c r="E749" s="67">
        <v>35779</v>
      </c>
      <c r="F749" t="s">
        <v>249</v>
      </c>
      <c r="G749">
        <v>8.19</v>
      </c>
      <c r="H749" t="s">
        <v>197</v>
      </c>
      <c r="I749" t="s">
        <v>145</v>
      </c>
    </row>
    <row r="750" spans="1:9">
      <c r="A750">
        <v>10760</v>
      </c>
      <c r="B750" t="s">
        <v>216</v>
      </c>
      <c r="C750" s="67">
        <v>35765</v>
      </c>
      <c r="D750" s="67">
        <v>35793</v>
      </c>
      <c r="E750" s="67">
        <v>35774</v>
      </c>
      <c r="F750" t="s">
        <v>249</v>
      </c>
      <c r="G750">
        <v>155.64</v>
      </c>
      <c r="H750" t="s">
        <v>216</v>
      </c>
      <c r="I750" t="s">
        <v>139</v>
      </c>
    </row>
    <row r="751" spans="1:9">
      <c r="A751">
        <v>10762</v>
      </c>
      <c r="B751" t="s">
        <v>194</v>
      </c>
      <c r="C751" s="67">
        <v>35766</v>
      </c>
      <c r="D751" s="67">
        <v>35794</v>
      </c>
      <c r="E751" s="67">
        <v>35773</v>
      </c>
      <c r="F751" t="s">
        <v>249</v>
      </c>
      <c r="G751">
        <v>328.74</v>
      </c>
      <c r="H751" t="s">
        <v>194</v>
      </c>
      <c r="I751" t="s">
        <v>148</v>
      </c>
    </row>
    <row r="752" spans="1:9">
      <c r="A752">
        <v>10766</v>
      </c>
      <c r="B752" t="s">
        <v>189</v>
      </c>
      <c r="C752" s="67">
        <v>35769</v>
      </c>
      <c r="D752" s="67">
        <v>35797</v>
      </c>
      <c r="E752" s="67">
        <v>35773</v>
      </c>
      <c r="F752" t="s">
        <v>249</v>
      </c>
      <c r="G752">
        <v>157.55</v>
      </c>
      <c r="H752" t="s">
        <v>189</v>
      </c>
      <c r="I752" t="s">
        <v>150</v>
      </c>
    </row>
    <row r="753" spans="1:9">
      <c r="A753">
        <v>10769</v>
      </c>
      <c r="B753" t="s">
        <v>221</v>
      </c>
      <c r="C753" s="67">
        <v>35772</v>
      </c>
      <c r="D753" s="67">
        <v>35800</v>
      </c>
      <c r="E753" s="67">
        <v>35776</v>
      </c>
      <c r="F753" t="s">
        <v>249</v>
      </c>
      <c r="G753">
        <v>65.06</v>
      </c>
      <c r="H753" t="s">
        <v>221</v>
      </c>
      <c r="I753" t="s">
        <v>222</v>
      </c>
    </row>
    <row r="754" spans="1:9">
      <c r="A754">
        <v>10774</v>
      </c>
      <c r="B754" t="s">
        <v>194</v>
      </c>
      <c r="C754" s="67">
        <v>35775</v>
      </c>
      <c r="D754" s="67">
        <v>35789</v>
      </c>
      <c r="E754" s="67">
        <v>35776</v>
      </c>
      <c r="F754" t="s">
        <v>249</v>
      </c>
      <c r="G754">
        <v>48.2</v>
      </c>
      <c r="H754" t="s">
        <v>194</v>
      </c>
      <c r="I754" t="s">
        <v>148</v>
      </c>
    </row>
    <row r="755" spans="1:9">
      <c r="A755">
        <v>10775</v>
      </c>
      <c r="B755" t="s">
        <v>227</v>
      </c>
      <c r="C755" s="67">
        <v>35776</v>
      </c>
      <c r="D755" s="67">
        <v>35804</v>
      </c>
      <c r="E755" s="67">
        <v>35790</v>
      </c>
      <c r="F755" t="s">
        <v>249</v>
      </c>
      <c r="G755">
        <v>20.25</v>
      </c>
      <c r="H755" t="s">
        <v>227</v>
      </c>
      <c r="I755" t="s">
        <v>145</v>
      </c>
    </row>
    <row r="756" spans="1:9">
      <c r="A756">
        <v>10778</v>
      </c>
      <c r="B756" t="s">
        <v>147</v>
      </c>
      <c r="C756" s="67">
        <v>35780</v>
      </c>
      <c r="D756" s="67">
        <v>35808</v>
      </c>
      <c r="E756" s="67">
        <v>35788</v>
      </c>
      <c r="F756" t="s">
        <v>249</v>
      </c>
      <c r="G756">
        <v>6.79</v>
      </c>
      <c r="H756" t="s">
        <v>147</v>
      </c>
      <c r="I756" t="s">
        <v>148</v>
      </c>
    </row>
    <row r="757" spans="1:9">
      <c r="A757">
        <v>10780</v>
      </c>
      <c r="B757" t="s">
        <v>211</v>
      </c>
      <c r="C757" s="67">
        <v>35780</v>
      </c>
      <c r="D757" s="67">
        <v>35794</v>
      </c>
      <c r="E757" s="67">
        <v>35789</v>
      </c>
      <c r="F757" t="s">
        <v>249</v>
      </c>
      <c r="G757">
        <v>42.13</v>
      </c>
      <c r="H757" t="s">
        <v>211</v>
      </c>
      <c r="I757" t="s">
        <v>208</v>
      </c>
    </row>
    <row r="758" spans="1:9">
      <c r="A758">
        <v>10786</v>
      </c>
      <c r="B758" t="s">
        <v>184</v>
      </c>
      <c r="C758" s="67">
        <v>35783</v>
      </c>
      <c r="D758" s="67">
        <v>35811</v>
      </c>
      <c r="E758" s="67">
        <v>35787</v>
      </c>
      <c r="F758" t="s">
        <v>249</v>
      </c>
      <c r="G758">
        <v>110.87</v>
      </c>
      <c r="H758" t="s">
        <v>184</v>
      </c>
      <c r="I758" t="s">
        <v>137</v>
      </c>
    </row>
    <row r="759" spans="1:9">
      <c r="A759">
        <v>10787</v>
      </c>
      <c r="B759" t="s">
        <v>178</v>
      </c>
      <c r="C759" s="67">
        <v>35783</v>
      </c>
      <c r="D759" s="67">
        <v>35797</v>
      </c>
      <c r="E759" s="67">
        <v>35790</v>
      </c>
      <c r="F759" t="s">
        <v>249</v>
      </c>
      <c r="G759">
        <v>249.93</v>
      </c>
      <c r="H759" t="s">
        <v>178</v>
      </c>
      <c r="I759" t="s">
        <v>154</v>
      </c>
    </row>
    <row r="760" spans="1:9">
      <c r="A760">
        <v>10790</v>
      </c>
      <c r="B760" t="s">
        <v>228</v>
      </c>
      <c r="C760" s="67">
        <v>35786</v>
      </c>
      <c r="D760" s="67">
        <v>35814</v>
      </c>
      <c r="E760" s="67">
        <v>35790</v>
      </c>
      <c r="F760" t="s">
        <v>249</v>
      </c>
      <c r="G760">
        <v>28.23</v>
      </c>
      <c r="H760" t="s">
        <v>228</v>
      </c>
      <c r="I760" t="s">
        <v>137</v>
      </c>
    </row>
    <row r="761" spans="1:9">
      <c r="A761">
        <v>10794</v>
      </c>
      <c r="B761" t="s">
        <v>143</v>
      </c>
      <c r="C761" s="67">
        <v>35788</v>
      </c>
      <c r="D761" s="67">
        <v>35816</v>
      </c>
      <c r="E761" s="67">
        <v>35797</v>
      </c>
      <c r="F761" t="s">
        <v>249</v>
      </c>
      <c r="G761">
        <v>21.49</v>
      </c>
      <c r="H761" t="s">
        <v>143</v>
      </c>
      <c r="I761" t="s">
        <v>137</v>
      </c>
    </row>
    <row r="762" spans="1:9">
      <c r="A762">
        <v>10796</v>
      </c>
      <c r="B762" t="s">
        <v>209</v>
      </c>
      <c r="C762" s="67">
        <v>35789</v>
      </c>
      <c r="D762" s="67">
        <v>35817</v>
      </c>
      <c r="E762" s="67">
        <v>35809</v>
      </c>
      <c r="F762" t="s">
        <v>249</v>
      </c>
      <c r="G762">
        <v>26.52</v>
      </c>
      <c r="H762" t="s">
        <v>209</v>
      </c>
      <c r="I762" t="s">
        <v>208</v>
      </c>
    </row>
    <row r="763" spans="1:9">
      <c r="A763">
        <v>10798</v>
      </c>
      <c r="B763" t="s">
        <v>168</v>
      </c>
      <c r="C763" s="67">
        <v>35790</v>
      </c>
      <c r="D763" s="67">
        <v>35818</v>
      </c>
      <c r="E763" s="67">
        <v>35800</v>
      </c>
      <c r="F763" t="s">
        <v>249</v>
      </c>
      <c r="G763">
        <v>2.33</v>
      </c>
      <c r="H763" t="s">
        <v>168</v>
      </c>
      <c r="I763" t="s">
        <v>169</v>
      </c>
    </row>
    <row r="764" spans="1:9">
      <c r="A764">
        <v>10803</v>
      </c>
      <c r="B764" t="s">
        <v>142</v>
      </c>
      <c r="C764" s="67">
        <v>35794</v>
      </c>
      <c r="D764" s="67">
        <v>35822</v>
      </c>
      <c r="E764" s="67">
        <v>35801</v>
      </c>
      <c r="F764" t="s">
        <v>249</v>
      </c>
      <c r="G764">
        <v>55.23</v>
      </c>
      <c r="H764" t="s">
        <v>142</v>
      </c>
      <c r="I764" t="s">
        <v>137</v>
      </c>
    </row>
    <row r="765" spans="1:9">
      <c r="A765">
        <v>10807</v>
      </c>
      <c r="B765" t="s">
        <v>241</v>
      </c>
      <c r="C765" s="67">
        <v>35795</v>
      </c>
      <c r="D765" s="67">
        <v>35823</v>
      </c>
      <c r="E765" s="67">
        <v>35825</v>
      </c>
      <c r="F765" t="s">
        <v>249</v>
      </c>
      <c r="G765">
        <v>1.36</v>
      </c>
      <c r="H765" t="s">
        <v>241</v>
      </c>
      <c r="I765" t="s">
        <v>160</v>
      </c>
    </row>
    <row r="766" spans="1:9">
      <c r="A766">
        <v>10809</v>
      </c>
      <c r="B766" t="s">
        <v>142</v>
      </c>
      <c r="C766" s="67">
        <v>35796</v>
      </c>
      <c r="D766" s="67">
        <v>35824</v>
      </c>
      <c r="E766" s="67">
        <v>35802</v>
      </c>
      <c r="F766" t="s">
        <v>249</v>
      </c>
      <c r="G766">
        <v>4.87</v>
      </c>
      <c r="H766" t="s">
        <v>142</v>
      </c>
      <c r="I766" t="s">
        <v>137</v>
      </c>
    </row>
    <row r="767" spans="1:9">
      <c r="A767">
        <v>10811</v>
      </c>
      <c r="B767" t="s">
        <v>207</v>
      </c>
      <c r="C767" s="67">
        <v>35797</v>
      </c>
      <c r="D767" s="67">
        <v>35825</v>
      </c>
      <c r="E767" s="67">
        <v>35803</v>
      </c>
      <c r="F767" t="s">
        <v>249</v>
      </c>
      <c r="G767">
        <v>31.22</v>
      </c>
      <c r="H767" t="s">
        <v>207</v>
      </c>
      <c r="I767" t="s">
        <v>208</v>
      </c>
    </row>
    <row r="768" spans="1:9">
      <c r="A768">
        <v>10812</v>
      </c>
      <c r="B768" t="s">
        <v>229</v>
      </c>
      <c r="C768" s="67">
        <v>35797</v>
      </c>
      <c r="D768" s="67">
        <v>35825</v>
      </c>
      <c r="E768" s="67">
        <v>35807</v>
      </c>
      <c r="F768" t="s">
        <v>249</v>
      </c>
      <c r="G768">
        <v>59.78</v>
      </c>
      <c r="H768" t="s">
        <v>229</v>
      </c>
      <c r="I768" t="s">
        <v>160</v>
      </c>
    </row>
    <row r="769" spans="1:9">
      <c r="A769">
        <v>10813</v>
      </c>
      <c r="B769" t="s">
        <v>158</v>
      </c>
      <c r="C769" s="67">
        <v>35800</v>
      </c>
      <c r="D769" s="67">
        <v>35828</v>
      </c>
      <c r="E769" s="67">
        <v>35804</v>
      </c>
      <c r="F769" t="s">
        <v>249</v>
      </c>
      <c r="G769">
        <v>47.38</v>
      </c>
      <c r="H769" t="s">
        <v>158</v>
      </c>
      <c r="I769" t="s">
        <v>137</v>
      </c>
    </row>
    <row r="770" spans="1:9">
      <c r="A770">
        <v>10821</v>
      </c>
      <c r="B770" t="s">
        <v>144</v>
      </c>
      <c r="C770" s="67">
        <v>35803</v>
      </c>
      <c r="D770" s="67">
        <v>35831</v>
      </c>
      <c r="E770" s="67">
        <v>35810</v>
      </c>
      <c r="F770" t="s">
        <v>249</v>
      </c>
      <c r="G770">
        <v>36.68</v>
      </c>
      <c r="H770" t="s">
        <v>144</v>
      </c>
      <c r="I770" t="s">
        <v>145</v>
      </c>
    </row>
    <row r="771" spans="1:9">
      <c r="A771">
        <v>10824</v>
      </c>
      <c r="B771" t="s">
        <v>194</v>
      </c>
      <c r="C771" s="67">
        <v>35804</v>
      </c>
      <c r="D771" s="67">
        <v>35832</v>
      </c>
      <c r="E771" s="67">
        <v>35825</v>
      </c>
      <c r="F771" t="s">
        <v>249</v>
      </c>
      <c r="G771">
        <v>1.23</v>
      </c>
      <c r="H771" t="s">
        <v>194</v>
      </c>
      <c r="I771" t="s">
        <v>148</v>
      </c>
    </row>
    <row r="772" spans="1:9">
      <c r="A772">
        <v>10825</v>
      </c>
      <c r="B772" t="s">
        <v>232</v>
      </c>
      <c r="C772" s="67">
        <v>35804</v>
      </c>
      <c r="D772" s="67">
        <v>35832</v>
      </c>
      <c r="E772" s="67">
        <v>35809</v>
      </c>
      <c r="F772" t="s">
        <v>249</v>
      </c>
      <c r="G772">
        <v>79.25</v>
      </c>
      <c r="H772" t="s">
        <v>232</v>
      </c>
      <c r="I772" t="s">
        <v>150</v>
      </c>
    </row>
    <row r="773" spans="1:9">
      <c r="A773">
        <v>10826</v>
      </c>
      <c r="B773" t="s">
        <v>155</v>
      </c>
      <c r="C773" s="67">
        <v>35807</v>
      </c>
      <c r="D773" s="67">
        <v>35835</v>
      </c>
      <c r="E773" s="67">
        <v>35832</v>
      </c>
      <c r="F773" t="s">
        <v>249</v>
      </c>
      <c r="G773">
        <v>7.09</v>
      </c>
      <c r="H773" t="s">
        <v>155</v>
      </c>
      <c r="I773" t="s">
        <v>154</v>
      </c>
    </row>
    <row r="774" spans="1:9">
      <c r="A774">
        <v>10828</v>
      </c>
      <c r="B774" t="s">
        <v>199</v>
      </c>
      <c r="C774" s="67">
        <v>35808</v>
      </c>
      <c r="D774" s="67">
        <v>35822</v>
      </c>
      <c r="E774" s="67">
        <v>35830</v>
      </c>
      <c r="F774" t="s">
        <v>249</v>
      </c>
      <c r="G774">
        <v>90.85</v>
      </c>
      <c r="H774" t="s">
        <v>199</v>
      </c>
      <c r="I774" t="s">
        <v>200</v>
      </c>
    </row>
    <row r="775" spans="1:9">
      <c r="A775">
        <v>10829</v>
      </c>
      <c r="B775" t="s">
        <v>168</v>
      </c>
      <c r="C775" s="67">
        <v>35808</v>
      </c>
      <c r="D775" s="67">
        <v>35836</v>
      </c>
      <c r="E775" s="67">
        <v>35818</v>
      </c>
      <c r="F775" t="s">
        <v>249</v>
      </c>
      <c r="G775">
        <v>154.72</v>
      </c>
      <c r="H775" t="s">
        <v>168</v>
      </c>
      <c r="I775" t="s">
        <v>169</v>
      </c>
    </row>
    <row r="776" spans="1:9">
      <c r="A776">
        <v>10836</v>
      </c>
      <c r="B776" t="s">
        <v>182</v>
      </c>
      <c r="C776" s="67">
        <v>35811</v>
      </c>
      <c r="D776" s="67">
        <v>35839</v>
      </c>
      <c r="E776" s="67">
        <v>35816</v>
      </c>
      <c r="F776" t="s">
        <v>249</v>
      </c>
      <c r="G776">
        <v>411.88</v>
      </c>
      <c r="H776" t="s">
        <v>182</v>
      </c>
      <c r="I776" t="s">
        <v>183</v>
      </c>
    </row>
    <row r="777" spans="1:9">
      <c r="A777">
        <v>10845</v>
      </c>
      <c r="B777" t="s">
        <v>151</v>
      </c>
      <c r="C777" s="67">
        <v>35816</v>
      </c>
      <c r="D777" s="67">
        <v>35830</v>
      </c>
      <c r="E777" s="67">
        <v>35825</v>
      </c>
      <c r="F777" t="s">
        <v>249</v>
      </c>
      <c r="G777">
        <v>212.98</v>
      </c>
      <c r="H777" t="s">
        <v>151</v>
      </c>
      <c r="I777" t="s">
        <v>150</v>
      </c>
    </row>
    <row r="778" spans="1:9">
      <c r="A778">
        <v>10850</v>
      </c>
      <c r="B778" t="s">
        <v>173</v>
      </c>
      <c r="C778" s="67">
        <v>35818</v>
      </c>
      <c r="D778" s="67">
        <v>35860</v>
      </c>
      <c r="E778" s="67">
        <v>35825</v>
      </c>
      <c r="F778" t="s">
        <v>249</v>
      </c>
      <c r="G778">
        <v>49.19</v>
      </c>
      <c r="H778" t="s">
        <v>173</v>
      </c>
      <c r="I778" t="s">
        <v>154</v>
      </c>
    </row>
    <row r="779" spans="1:9">
      <c r="A779">
        <v>10851</v>
      </c>
      <c r="B779" t="s">
        <v>158</v>
      </c>
      <c r="C779" s="67">
        <v>35821</v>
      </c>
      <c r="D779" s="67">
        <v>35849</v>
      </c>
      <c r="E779" s="67">
        <v>35828</v>
      </c>
      <c r="F779" t="s">
        <v>249</v>
      </c>
      <c r="G779">
        <v>160.55</v>
      </c>
      <c r="H779" t="s">
        <v>158</v>
      </c>
      <c r="I779" t="s">
        <v>137</v>
      </c>
    </row>
    <row r="780" spans="1:9">
      <c r="A780">
        <v>10852</v>
      </c>
      <c r="B780" t="s">
        <v>146</v>
      </c>
      <c r="C780" s="67">
        <v>35821</v>
      </c>
      <c r="D780" s="67">
        <v>35835</v>
      </c>
      <c r="E780" s="67">
        <v>35825</v>
      </c>
      <c r="F780" t="s">
        <v>249</v>
      </c>
      <c r="G780">
        <v>174.05</v>
      </c>
      <c r="H780" t="s">
        <v>146</v>
      </c>
      <c r="I780" t="s">
        <v>145</v>
      </c>
    </row>
    <row r="781" spans="1:9">
      <c r="A781">
        <v>10855</v>
      </c>
      <c r="B781" t="s">
        <v>198</v>
      </c>
      <c r="C781" s="67">
        <v>35822</v>
      </c>
      <c r="D781" s="67">
        <v>35850</v>
      </c>
      <c r="E781" s="67">
        <v>35830</v>
      </c>
      <c r="F781" t="s">
        <v>249</v>
      </c>
      <c r="G781">
        <v>170.97</v>
      </c>
      <c r="H781" t="s">
        <v>198</v>
      </c>
      <c r="I781" t="s">
        <v>145</v>
      </c>
    </row>
    <row r="782" spans="1:9">
      <c r="A782">
        <v>10858</v>
      </c>
      <c r="B782" t="s">
        <v>239</v>
      </c>
      <c r="C782" s="67">
        <v>35824</v>
      </c>
      <c r="D782" s="67">
        <v>35852</v>
      </c>
      <c r="E782" s="67">
        <v>35829</v>
      </c>
      <c r="F782" t="s">
        <v>249</v>
      </c>
      <c r="G782">
        <v>52.51</v>
      </c>
      <c r="H782" t="s">
        <v>239</v>
      </c>
      <c r="I782" t="s">
        <v>154</v>
      </c>
    </row>
    <row r="783" spans="1:9">
      <c r="A783">
        <v>10865</v>
      </c>
      <c r="B783" t="s">
        <v>151</v>
      </c>
      <c r="C783" s="67">
        <v>35828</v>
      </c>
      <c r="D783" s="67">
        <v>35842</v>
      </c>
      <c r="E783" s="67">
        <v>35838</v>
      </c>
      <c r="F783" t="s">
        <v>249</v>
      </c>
      <c r="G783">
        <v>348.14</v>
      </c>
      <c r="H783" t="s">
        <v>151</v>
      </c>
      <c r="I783" t="s">
        <v>150</v>
      </c>
    </row>
    <row r="784" spans="1:9">
      <c r="A784">
        <v>10866</v>
      </c>
      <c r="B784" t="s">
        <v>147</v>
      </c>
      <c r="C784" s="67">
        <v>35829</v>
      </c>
      <c r="D784" s="67">
        <v>35857</v>
      </c>
      <c r="E784" s="67">
        <v>35838</v>
      </c>
      <c r="F784" t="s">
        <v>249</v>
      </c>
      <c r="G784">
        <v>109.11</v>
      </c>
      <c r="H784" t="s">
        <v>147</v>
      </c>
      <c r="I784" t="s">
        <v>148</v>
      </c>
    </row>
    <row r="785" spans="1:9">
      <c r="A785">
        <v>10867</v>
      </c>
      <c r="B785" t="s">
        <v>166</v>
      </c>
      <c r="C785" s="67">
        <v>35829</v>
      </c>
      <c r="D785" s="67">
        <v>35871</v>
      </c>
      <c r="E785" s="67">
        <v>35837</v>
      </c>
      <c r="F785" t="s">
        <v>249</v>
      </c>
      <c r="G785">
        <v>1.93</v>
      </c>
      <c r="H785" t="s">
        <v>166</v>
      </c>
      <c r="I785" t="s">
        <v>145</v>
      </c>
    </row>
    <row r="786" spans="1:9">
      <c r="A786">
        <v>10869</v>
      </c>
      <c r="B786" t="s">
        <v>214</v>
      </c>
      <c r="C786" s="67">
        <v>35830</v>
      </c>
      <c r="D786" s="67">
        <v>35858</v>
      </c>
      <c r="E786" s="67">
        <v>35835</v>
      </c>
      <c r="F786" t="s">
        <v>249</v>
      </c>
      <c r="G786">
        <v>143.28</v>
      </c>
      <c r="H786" t="s">
        <v>214</v>
      </c>
      <c r="I786" t="s">
        <v>169</v>
      </c>
    </row>
    <row r="787" spans="1:9">
      <c r="A787">
        <v>10873</v>
      </c>
      <c r="B787" t="s">
        <v>242</v>
      </c>
      <c r="C787" s="67">
        <v>35832</v>
      </c>
      <c r="D787" s="67">
        <v>35860</v>
      </c>
      <c r="E787" s="67">
        <v>35835</v>
      </c>
      <c r="F787" t="s">
        <v>249</v>
      </c>
      <c r="G787">
        <v>0.82</v>
      </c>
      <c r="H787" t="s">
        <v>242</v>
      </c>
      <c r="I787" t="s">
        <v>191</v>
      </c>
    </row>
    <row r="788" spans="1:9">
      <c r="A788">
        <v>10877</v>
      </c>
      <c r="B788" t="s">
        <v>158</v>
      </c>
      <c r="C788" s="67">
        <v>35835</v>
      </c>
      <c r="D788" s="67">
        <v>35863</v>
      </c>
      <c r="E788" s="67">
        <v>35845</v>
      </c>
      <c r="F788" t="s">
        <v>249</v>
      </c>
      <c r="G788">
        <v>38.06</v>
      </c>
      <c r="H788" t="s">
        <v>158</v>
      </c>
      <c r="I788" t="s">
        <v>137</v>
      </c>
    </row>
    <row r="789" spans="1:9">
      <c r="A789">
        <v>10878</v>
      </c>
      <c r="B789" t="s">
        <v>151</v>
      </c>
      <c r="C789" s="67">
        <v>35836</v>
      </c>
      <c r="D789" s="67">
        <v>35864</v>
      </c>
      <c r="E789" s="67">
        <v>35838</v>
      </c>
      <c r="F789" t="s">
        <v>249</v>
      </c>
      <c r="G789">
        <v>46.69</v>
      </c>
      <c r="H789" t="s">
        <v>151</v>
      </c>
      <c r="I789" t="s">
        <v>150</v>
      </c>
    </row>
    <row r="790" spans="1:9">
      <c r="A790">
        <v>10880</v>
      </c>
      <c r="B790" t="s">
        <v>194</v>
      </c>
      <c r="C790" s="67">
        <v>35836</v>
      </c>
      <c r="D790" s="67">
        <v>35878</v>
      </c>
      <c r="E790" s="67">
        <v>35844</v>
      </c>
      <c r="F790" t="s">
        <v>249</v>
      </c>
      <c r="G790">
        <v>88.01</v>
      </c>
      <c r="H790" t="s">
        <v>194</v>
      </c>
      <c r="I790" t="s">
        <v>148</v>
      </c>
    </row>
    <row r="791" spans="1:9">
      <c r="A791">
        <v>10881</v>
      </c>
      <c r="B791" t="s">
        <v>213</v>
      </c>
      <c r="C791" s="67">
        <v>35837</v>
      </c>
      <c r="D791" s="67">
        <v>35865</v>
      </c>
      <c r="E791" s="67">
        <v>35844</v>
      </c>
      <c r="F791" t="s">
        <v>249</v>
      </c>
      <c r="G791">
        <v>2.84</v>
      </c>
      <c r="H791" t="s">
        <v>213</v>
      </c>
      <c r="I791" t="s">
        <v>200</v>
      </c>
    </row>
    <row r="792" spans="1:9">
      <c r="A792">
        <v>10886</v>
      </c>
      <c r="B792" t="s">
        <v>135</v>
      </c>
      <c r="C792" s="67">
        <v>35839</v>
      </c>
      <c r="D792" s="67">
        <v>35867</v>
      </c>
      <c r="E792" s="67">
        <v>35856</v>
      </c>
      <c r="F792" t="s">
        <v>249</v>
      </c>
      <c r="G792">
        <v>4.99</v>
      </c>
      <c r="H792" t="s">
        <v>135</v>
      </c>
      <c r="I792" t="s">
        <v>137</v>
      </c>
    </row>
    <row r="793" spans="1:9">
      <c r="A793">
        <v>10890</v>
      </c>
      <c r="B793" t="s">
        <v>223</v>
      </c>
      <c r="C793" s="67">
        <v>35842</v>
      </c>
      <c r="D793" s="67">
        <v>35870</v>
      </c>
      <c r="E793" s="67">
        <v>35844</v>
      </c>
      <c r="F793" t="s">
        <v>249</v>
      </c>
      <c r="G793">
        <v>32.76</v>
      </c>
      <c r="H793" t="s">
        <v>223</v>
      </c>
      <c r="I793" t="s">
        <v>154</v>
      </c>
    </row>
    <row r="794" spans="1:9">
      <c r="A794">
        <v>10894</v>
      </c>
      <c r="B794" t="s">
        <v>197</v>
      </c>
      <c r="C794" s="67">
        <v>35844</v>
      </c>
      <c r="D794" s="67">
        <v>35872</v>
      </c>
      <c r="E794" s="67">
        <v>35846</v>
      </c>
      <c r="F794" t="s">
        <v>249</v>
      </c>
      <c r="G794">
        <v>116.13</v>
      </c>
      <c r="H794" t="s">
        <v>197</v>
      </c>
      <c r="I794" t="s">
        <v>145</v>
      </c>
    </row>
    <row r="795" spans="1:9">
      <c r="A795">
        <v>10895</v>
      </c>
      <c r="B795" t="s">
        <v>182</v>
      </c>
      <c r="C795" s="67">
        <v>35844</v>
      </c>
      <c r="D795" s="67">
        <v>35872</v>
      </c>
      <c r="E795" s="67">
        <v>35849</v>
      </c>
      <c r="F795" t="s">
        <v>249</v>
      </c>
      <c r="G795">
        <v>162.75</v>
      </c>
      <c r="H795" t="s">
        <v>182</v>
      </c>
      <c r="I795" t="s">
        <v>183</v>
      </c>
    </row>
    <row r="796" spans="1:9">
      <c r="A796">
        <v>10901</v>
      </c>
      <c r="B796" t="s">
        <v>209</v>
      </c>
      <c r="C796" s="67">
        <v>35849</v>
      </c>
      <c r="D796" s="67">
        <v>35877</v>
      </c>
      <c r="E796" s="67">
        <v>35852</v>
      </c>
      <c r="F796" t="s">
        <v>249</v>
      </c>
      <c r="G796">
        <v>62.09</v>
      </c>
      <c r="H796" t="s">
        <v>209</v>
      </c>
      <c r="I796" t="s">
        <v>208</v>
      </c>
    </row>
    <row r="797" spans="1:9">
      <c r="A797">
        <v>10902</v>
      </c>
      <c r="B797" t="s">
        <v>194</v>
      </c>
      <c r="C797" s="67">
        <v>35849</v>
      </c>
      <c r="D797" s="67">
        <v>35877</v>
      </c>
      <c r="E797" s="67">
        <v>35857</v>
      </c>
      <c r="F797" t="s">
        <v>249</v>
      </c>
      <c r="G797">
        <v>44.15</v>
      </c>
      <c r="H797" t="s">
        <v>194</v>
      </c>
      <c r="I797" t="s">
        <v>148</v>
      </c>
    </row>
    <row r="798" spans="1:9">
      <c r="A798">
        <v>10911</v>
      </c>
      <c r="B798" t="s">
        <v>162</v>
      </c>
      <c r="C798" s="67">
        <v>35852</v>
      </c>
      <c r="D798" s="67">
        <v>35880</v>
      </c>
      <c r="E798" s="67">
        <v>35859</v>
      </c>
      <c r="F798" t="s">
        <v>249</v>
      </c>
      <c r="G798">
        <v>38.19</v>
      </c>
      <c r="H798" t="s">
        <v>162</v>
      </c>
      <c r="I798" t="s">
        <v>163</v>
      </c>
    </row>
    <row r="799" spans="1:9">
      <c r="A799">
        <v>10913</v>
      </c>
      <c r="B799" t="s">
        <v>184</v>
      </c>
      <c r="C799" s="67">
        <v>35852</v>
      </c>
      <c r="D799" s="67">
        <v>35880</v>
      </c>
      <c r="E799" s="67">
        <v>35858</v>
      </c>
      <c r="F799" t="s">
        <v>249</v>
      </c>
      <c r="G799">
        <v>33.05</v>
      </c>
      <c r="H799" t="s">
        <v>184</v>
      </c>
      <c r="I799" t="s">
        <v>137</v>
      </c>
    </row>
    <row r="800" spans="1:9">
      <c r="A800">
        <v>10914</v>
      </c>
      <c r="B800" t="s">
        <v>184</v>
      </c>
      <c r="C800" s="67">
        <v>35853</v>
      </c>
      <c r="D800" s="67">
        <v>35881</v>
      </c>
      <c r="E800" s="67">
        <v>35856</v>
      </c>
      <c r="F800" t="s">
        <v>249</v>
      </c>
      <c r="G800">
        <v>21.19</v>
      </c>
      <c r="H800" t="s">
        <v>184</v>
      </c>
      <c r="I800" t="s">
        <v>137</v>
      </c>
    </row>
    <row r="801" spans="1:9">
      <c r="A801">
        <v>10921</v>
      </c>
      <c r="B801" t="s">
        <v>221</v>
      </c>
      <c r="C801" s="67">
        <v>35857</v>
      </c>
      <c r="D801" s="67">
        <v>35899</v>
      </c>
      <c r="E801" s="67">
        <v>35863</v>
      </c>
      <c r="F801" t="s">
        <v>249</v>
      </c>
      <c r="G801">
        <v>176.48</v>
      </c>
      <c r="H801" t="s">
        <v>221</v>
      </c>
      <c r="I801" t="s">
        <v>222</v>
      </c>
    </row>
    <row r="802" spans="1:9">
      <c r="A802">
        <v>10925</v>
      </c>
      <c r="B802" t="s">
        <v>135</v>
      </c>
      <c r="C802" s="67">
        <v>35858</v>
      </c>
      <c r="D802" s="67">
        <v>35886</v>
      </c>
      <c r="E802" s="67">
        <v>35867</v>
      </c>
      <c r="F802" t="s">
        <v>249</v>
      </c>
      <c r="G802">
        <v>2.27</v>
      </c>
      <c r="H802" t="s">
        <v>135</v>
      </c>
      <c r="I802" t="s">
        <v>137</v>
      </c>
    </row>
    <row r="803" spans="1:9">
      <c r="A803">
        <v>10927</v>
      </c>
      <c r="B803" t="s">
        <v>239</v>
      </c>
      <c r="C803" s="67">
        <v>35859</v>
      </c>
      <c r="D803" s="67">
        <v>35887</v>
      </c>
      <c r="E803" s="67">
        <v>35893</v>
      </c>
      <c r="F803" t="s">
        <v>249</v>
      </c>
      <c r="G803">
        <v>19.79</v>
      </c>
      <c r="H803" t="s">
        <v>239</v>
      </c>
      <c r="I803" t="s">
        <v>154</v>
      </c>
    </row>
    <row r="804" spans="1:9">
      <c r="A804">
        <v>10928</v>
      </c>
      <c r="B804" t="s">
        <v>180</v>
      </c>
      <c r="C804" s="67">
        <v>35859</v>
      </c>
      <c r="D804" s="67">
        <v>35887</v>
      </c>
      <c r="E804" s="67">
        <v>35872</v>
      </c>
      <c r="F804" t="s">
        <v>249</v>
      </c>
      <c r="G804">
        <v>1.36</v>
      </c>
      <c r="H804" t="s">
        <v>181</v>
      </c>
      <c r="I804" t="s">
        <v>163</v>
      </c>
    </row>
    <row r="805" spans="1:9">
      <c r="A805">
        <v>10929</v>
      </c>
      <c r="B805" t="s">
        <v>176</v>
      </c>
      <c r="C805" s="67">
        <v>35859</v>
      </c>
      <c r="D805" s="67">
        <v>35887</v>
      </c>
      <c r="E805" s="67">
        <v>35866</v>
      </c>
      <c r="F805" t="s">
        <v>249</v>
      </c>
      <c r="G805">
        <v>33.93</v>
      </c>
      <c r="H805" t="s">
        <v>176</v>
      </c>
      <c r="I805" t="s">
        <v>150</v>
      </c>
    </row>
    <row r="806" spans="1:9">
      <c r="A806">
        <v>10932</v>
      </c>
      <c r="B806" t="s">
        <v>204</v>
      </c>
      <c r="C806" s="67">
        <v>35860</v>
      </c>
      <c r="D806" s="67">
        <v>35888</v>
      </c>
      <c r="E806" s="67">
        <v>35878</v>
      </c>
      <c r="F806" t="s">
        <v>249</v>
      </c>
      <c r="G806">
        <v>134.64</v>
      </c>
      <c r="H806" t="s">
        <v>204</v>
      </c>
      <c r="I806" t="s">
        <v>154</v>
      </c>
    </row>
    <row r="807" spans="1:9">
      <c r="A807">
        <v>10945</v>
      </c>
      <c r="B807" t="s">
        <v>231</v>
      </c>
      <c r="C807" s="67">
        <v>35866</v>
      </c>
      <c r="D807" s="67">
        <v>35894</v>
      </c>
      <c r="E807" s="67">
        <v>35872</v>
      </c>
      <c r="F807" t="s">
        <v>249</v>
      </c>
      <c r="G807">
        <v>10.22</v>
      </c>
      <c r="H807" t="s">
        <v>231</v>
      </c>
      <c r="I807" t="s">
        <v>150</v>
      </c>
    </row>
    <row r="808" spans="1:9">
      <c r="A808">
        <v>10952</v>
      </c>
      <c r="B808" t="s">
        <v>230</v>
      </c>
      <c r="C808" s="67">
        <v>35870</v>
      </c>
      <c r="D808" s="67">
        <v>35912</v>
      </c>
      <c r="E808" s="67">
        <v>35878</v>
      </c>
      <c r="F808" t="s">
        <v>249</v>
      </c>
      <c r="G808">
        <v>40.42</v>
      </c>
      <c r="H808" t="s">
        <v>230</v>
      </c>
      <c r="I808" t="s">
        <v>150</v>
      </c>
    </row>
    <row r="809" spans="1:9">
      <c r="A809">
        <v>10954</v>
      </c>
      <c r="B809" t="s">
        <v>207</v>
      </c>
      <c r="C809" s="67">
        <v>35871</v>
      </c>
      <c r="D809" s="67">
        <v>35913</v>
      </c>
      <c r="E809" s="67">
        <v>35874</v>
      </c>
      <c r="F809" t="s">
        <v>249</v>
      </c>
      <c r="G809">
        <v>27.91</v>
      </c>
      <c r="H809" t="s">
        <v>207</v>
      </c>
      <c r="I809" t="s">
        <v>208</v>
      </c>
    </row>
    <row r="810" spans="1:9">
      <c r="A810">
        <v>10960</v>
      </c>
      <c r="B810" t="s">
        <v>209</v>
      </c>
      <c r="C810" s="67">
        <v>35873</v>
      </c>
      <c r="D810" s="67">
        <v>35887</v>
      </c>
      <c r="E810" s="67">
        <v>35893</v>
      </c>
      <c r="F810" t="s">
        <v>249</v>
      </c>
      <c r="G810">
        <v>2.08</v>
      </c>
      <c r="H810" t="s">
        <v>209</v>
      </c>
      <c r="I810" t="s">
        <v>208</v>
      </c>
    </row>
    <row r="811" spans="1:9">
      <c r="A811">
        <v>10961</v>
      </c>
      <c r="B811" t="s">
        <v>184</v>
      </c>
      <c r="C811" s="67">
        <v>35873</v>
      </c>
      <c r="D811" s="67">
        <v>35901</v>
      </c>
      <c r="E811" s="67">
        <v>35884</v>
      </c>
      <c r="F811" t="s">
        <v>249</v>
      </c>
      <c r="G811">
        <v>104.47</v>
      </c>
      <c r="H811" t="s">
        <v>184</v>
      </c>
      <c r="I811" t="s">
        <v>137</v>
      </c>
    </row>
    <row r="812" spans="1:9">
      <c r="A812">
        <v>10966</v>
      </c>
      <c r="B812" t="s">
        <v>140</v>
      </c>
      <c r="C812" s="67">
        <v>35874</v>
      </c>
      <c r="D812" s="67">
        <v>35902</v>
      </c>
      <c r="E812" s="67">
        <v>35893</v>
      </c>
      <c r="F812" t="s">
        <v>249</v>
      </c>
      <c r="G812">
        <v>27.19</v>
      </c>
      <c r="H812" t="s">
        <v>140</v>
      </c>
      <c r="I812" t="s">
        <v>141</v>
      </c>
    </row>
    <row r="813" spans="1:9">
      <c r="A813">
        <v>10970</v>
      </c>
      <c r="B813" t="s">
        <v>170</v>
      </c>
      <c r="C813" s="67">
        <v>35878</v>
      </c>
      <c r="D813" s="67">
        <v>35892</v>
      </c>
      <c r="E813" s="67">
        <v>35909</v>
      </c>
      <c r="F813" t="s">
        <v>249</v>
      </c>
      <c r="G813">
        <v>16.16</v>
      </c>
      <c r="H813" t="s">
        <v>170</v>
      </c>
      <c r="I813" t="s">
        <v>163</v>
      </c>
    </row>
    <row r="814" spans="1:9">
      <c r="A814">
        <v>10976</v>
      </c>
      <c r="B814" t="s">
        <v>209</v>
      </c>
      <c r="C814" s="67">
        <v>35879</v>
      </c>
      <c r="D814" s="67">
        <v>35921</v>
      </c>
      <c r="E814" s="67">
        <v>35888</v>
      </c>
      <c r="F814" t="s">
        <v>249</v>
      </c>
      <c r="G814">
        <v>37.97</v>
      </c>
      <c r="H814" t="s">
        <v>209</v>
      </c>
      <c r="I814" t="s">
        <v>208</v>
      </c>
    </row>
    <row r="815" spans="1:9">
      <c r="A815">
        <v>10980</v>
      </c>
      <c r="B815" t="s">
        <v>194</v>
      </c>
      <c r="C815" s="67">
        <v>35881</v>
      </c>
      <c r="D815" s="67">
        <v>35923</v>
      </c>
      <c r="E815" s="67">
        <v>35902</v>
      </c>
      <c r="F815" t="s">
        <v>249</v>
      </c>
      <c r="G815">
        <v>1.26</v>
      </c>
      <c r="H815" t="s">
        <v>194</v>
      </c>
      <c r="I815" t="s">
        <v>148</v>
      </c>
    </row>
    <row r="816" spans="1:9">
      <c r="A816">
        <v>10982</v>
      </c>
      <c r="B816" t="s">
        <v>188</v>
      </c>
      <c r="C816" s="67">
        <v>35881</v>
      </c>
      <c r="D816" s="67">
        <v>35909</v>
      </c>
      <c r="E816" s="67">
        <v>35893</v>
      </c>
      <c r="F816" t="s">
        <v>249</v>
      </c>
      <c r="G816">
        <v>14.01</v>
      </c>
      <c r="H816" t="s">
        <v>188</v>
      </c>
      <c r="I816" t="s">
        <v>172</v>
      </c>
    </row>
    <row r="817" spans="1:9">
      <c r="A817">
        <v>10985</v>
      </c>
      <c r="B817" t="s">
        <v>156</v>
      </c>
      <c r="C817" s="67">
        <v>35884</v>
      </c>
      <c r="D817" s="67">
        <v>35912</v>
      </c>
      <c r="E817" s="67">
        <v>35887</v>
      </c>
      <c r="F817" t="s">
        <v>249</v>
      </c>
      <c r="G817">
        <v>91.51</v>
      </c>
      <c r="H817" t="s">
        <v>156</v>
      </c>
      <c r="I817" t="s">
        <v>157</v>
      </c>
    </row>
    <row r="818" spans="1:9">
      <c r="A818">
        <v>10987</v>
      </c>
      <c r="B818" t="s">
        <v>240</v>
      </c>
      <c r="C818" s="67">
        <v>35885</v>
      </c>
      <c r="D818" s="67">
        <v>35913</v>
      </c>
      <c r="E818" s="67">
        <v>35891</v>
      </c>
      <c r="F818" t="s">
        <v>249</v>
      </c>
      <c r="G818">
        <v>185.48</v>
      </c>
      <c r="H818" t="s">
        <v>240</v>
      </c>
      <c r="I818" t="s">
        <v>169</v>
      </c>
    </row>
    <row r="819" spans="1:9">
      <c r="A819">
        <v>10989</v>
      </c>
      <c r="B819" t="s">
        <v>143</v>
      </c>
      <c r="C819" s="67">
        <v>35885</v>
      </c>
      <c r="D819" s="67">
        <v>35913</v>
      </c>
      <c r="E819" s="67">
        <v>35887</v>
      </c>
      <c r="F819" t="s">
        <v>249</v>
      </c>
      <c r="G819">
        <v>34.76</v>
      </c>
      <c r="H819" t="s">
        <v>143</v>
      </c>
      <c r="I819" t="s">
        <v>137</v>
      </c>
    </row>
    <row r="820" spans="1:9">
      <c r="A820">
        <v>10991</v>
      </c>
      <c r="B820" t="s">
        <v>151</v>
      </c>
      <c r="C820" s="67">
        <v>35886</v>
      </c>
      <c r="D820" s="67">
        <v>35914</v>
      </c>
      <c r="E820" s="67">
        <v>35892</v>
      </c>
      <c r="F820" t="s">
        <v>249</v>
      </c>
      <c r="G820">
        <v>38.51</v>
      </c>
      <c r="H820" t="s">
        <v>151</v>
      </c>
      <c r="I820" t="s">
        <v>150</v>
      </c>
    </row>
    <row r="821" spans="1:9">
      <c r="A821">
        <v>11002</v>
      </c>
      <c r="B821" t="s">
        <v>197</v>
      </c>
      <c r="C821" s="67">
        <v>35891</v>
      </c>
      <c r="D821" s="67">
        <v>35919</v>
      </c>
      <c r="E821" s="67">
        <v>35901</v>
      </c>
      <c r="F821" t="s">
        <v>249</v>
      </c>
      <c r="G821">
        <v>141.16</v>
      </c>
      <c r="H821" t="s">
        <v>197</v>
      </c>
      <c r="I821" t="s">
        <v>145</v>
      </c>
    </row>
    <row r="822" spans="1:9">
      <c r="A822">
        <v>11004</v>
      </c>
      <c r="B822" t="s">
        <v>216</v>
      </c>
      <c r="C822" s="67">
        <v>35892</v>
      </c>
      <c r="D822" s="67">
        <v>35920</v>
      </c>
      <c r="E822" s="67">
        <v>35905</v>
      </c>
      <c r="F822" t="s">
        <v>249</v>
      </c>
      <c r="G822">
        <v>44.84</v>
      </c>
      <c r="H822" t="s">
        <v>216</v>
      </c>
      <c r="I822" t="s">
        <v>139</v>
      </c>
    </row>
    <row r="823" spans="1:9">
      <c r="A823">
        <v>11005</v>
      </c>
      <c r="B823" t="s">
        <v>242</v>
      </c>
      <c r="C823" s="67">
        <v>35892</v>
      </c>
      <c r="D823" s="67">
        <v>35920</v>
      </c>
      <c r="E823" s="67">
        <v>35895</v>
      </c>
      <c r="F823" t="s">
        <v>249</v>
      </c>
      <c r="G823">
        <v>0.75</v>
      </c>
      <c r="H823" t="s">
        <v>242</v>
      </c>
      <c r="I823" t="s">
        <v>191</v>
      </c>
    </row>
    <row r="824" spans="1:9">
      <c r="A824">
        <v>11009</v>
      </c>
      <c r="B824" t="s">
        <v>162</v>
      </c>
      <c r="C824" s="67">
        <v>35893</v>
      </c>
      <c r="D824" s="67">
        <v>35921</v>
      </c>
      <c r="E824" s="67">
        <v>35895</v>
      </c>
      <c r="F824" t="s">
        <v>249</v>
      </c>
      <c r="G824">
        <v>59.11</v>
      </c>
      <c r="H824" t="s">
        <v>162</v>
      </c>
      <c r="I824" t="s">
        <v>163</v>
      </c>
    </row>
    <row r="825" spans="1:9">
      <c r="A825">
        <v>11011</v>
      </c>
      <c r="B825" t="s">
        <v>230</v>
      </c>
      <c r="C825" s="67">
        <v>35894</v>
      </c>
      <c r="D825" s="67">
        <v>35922</v>
      </c>
      <c r="E825" s="67">
        <v>35898</v>
      </c>
      <c r="F825" t="s">
        <v>249</v>
      </c>
      <c r="G825">
        <v>1.21</v>
      </c>
      <c r="H825" t="s">
        <v>230</v>
      </c>
      <c r="I825" t="s">
        <v>150</v>
      </c>
    </row>
    <row r="826" spans="1:9">
      <c r="A826">
        <v>11013</v>
      </c>
      <c r="B826" t="s">
        <v>235</v>
      </c>
      <c r="C826" s="67">
        <v>35894</v>
      </c>
      <c r="D826" s="67">
        <v>35922</v>
      </c>
      <c r="E826" s="67">
        <v>35895</v>
      </c>
      <c r="F826" t="s">
        <v>249</v>
      </c>
      <c r="G826">
        <v>32.99</v>
      </c>
      <c r="H826" t="s">
        <v>235</v>
      </c>
      <c r="I826" t="s">
        <v>163</v>
      </c>
    </row>
    <row r="827" spans="1:9">
      <c r="A827">
        <v>11021</v>
      </c>
      <c r="B827" t="s">
        <v>151</v>
      </c>
      <c r="C827" s="67">
        <v>35899</v>
      </c>
      <c r="D827" s="67">
        <v>35927</v>
      </c>
      <c r="E827" s="67">
        <v>35906</v>
      </c>
      <c r="F827" t="s">
        <v>249</v>
      </c>
      <c r="G827">
        <v>297.18</v>
      </c>
      <c r="H827" t="s">
        <v>151</v>
      </c>
      <c r="I827" t="s">
        <v>150</v>
      </c>
    </row>
    <row r="828" spans="1:9">
      <c r="A828">
        <v>11024</v>
      </c>
      <c r="B828" t="s">
        <v>240</v>
      </c>
      <c r="C828" s="67">
        <v>35900</v>
      </c>
      <c r="D828" s="67">
        <v>35928</v>
      </c>
      <c r="E828" s="67">
        <v>35905</v>
      </c>
      <c r="F828" t="s">
        <v>249</v>
      </c>
      <c r="G828">
        <v>74.36</v>
      </c>
      <c r="H828" t="s">
        <v>240</v>
      </c>
      <c r="I828" t="s">
        <v>169</v>
      </c>
    </row>
    <row r="829" spans="1:9">
      <c r="A829">
        <v>11026</v>
      </c>
      <c r="B829" t="s">
        <v>241</v>
      </c>
      <c r="C829" s="67">
        <v>35900</v>
      </c>
      <c r="D829" s="67">
        <v>35928</v>
      </c>
      <c r="E829" s="67">
        <v>35913</v>
      </c>
      <c r="F829" t="s">
        <v>249</v>
      </c>
      <c r="G829">
        <v>47.09</v>
      </c>
      <c r="H829" t="s">
        <v>241</v>
      </c>
      <c r="I829" t="s">
        <v>160</v>
      </c>
    </row>
    <row r="830" spans="1:9">
      <c r="A830">
        <v>11027</v>
      </c>
      <c r="B830" t="s">
        <v>188</v>
      </c>
      <c r="C830" s="67">
        <v>35901</v>
      </c>
      <c r="D830" s="67">
        <v>35929</v>
      </c>
      <c r="E830" s="67">
        <v>35905</v>
      </c>
      <c r="F830" t="s">
        <v>249</v>
      </c>
      <c r="G830">
        <v>52.52</v>
      </c>
      <c r="H830" t="s">
        <v>188</v>
      </c>
      <c r="I830" t="s">
        <v>172</v>
      </c>
    </row>
    <row r="831" spans="1:9">
      <c r="A831">
        <v>11028</v>
      </c>
      <c r="B831" t="s">
        <v>202</v>
      </c>
      <c r="C831" s="67">
        <v>35901</v>
      </c>
      <c r="D831" s="67">
        <v>35929</v>
      </c>
      <c r="E831" s="67">
        <v>35907</v>
      </c>
      <c r="F831" t="s">
        <v>249</v>
      </c>
      <c r="G831">
        <v>29.59</v>
      </c>
      <c r="H831" t="s">
        <v>202</v>
      </c>
      <c r="I831" t="s">
        <v>150</v>
      </c>
    </row>
    <row r="832" spans="1:9">
      <c r="A832">
        <v>11029</v>
      </c>
      <c r="B832" t="s">
        <v>140</v>
      </c>
      <c r="C832" s="67">
        <v>35901</v>
      </c>
      <c r="D832" s="67">
        <v>35929</v>
      </c>
      <c r="E832" s="67">
        <v>35912</v>
      </c>
      <c r="F832" t="s">
        <v>249</v>
      </c>
      <c r="G832">
        <v>47.84</v>
      </c>
      <c r="H832" t="s">
        <v>140</v>
      </c>
      <c r="I832" t="s">
        <v>141</v>
      </c>
    </row>
    <row r="833" spans="1:9">
      <c r="A833">
        <v>11034</v>
      </c>
      <c r="B833" t="s">
        <v>198</v>
      </c>
      <c r="C833" s="67">
        <v>35905</v>
      </c>
      <c r="D833" s="67">
        <v>35947</v>
      </c>
      <c r="E833" s="67">
        <v>35912</v>
      </c>
      <c r="F833" t="s">
        <v>249</v>
      </c>
      <c r="G833">
        <v>40.32</v>
      </c>
      <c r="H833" t="s">
        <v>198</v>
      </c>
      <c r="I833" t="s">
        <v>145</v>
      </c>
    </row>
    <row r="834" spans="1:9">
      <c r="A834">
        <v>11037</v>
      </c>
      <c r="B834" t="s">
        <v>162</v>
      </c>
      <c r="C834" s="67">
        <v>35906</v>
      </c>
      <c r="D834" s="67">
        <v>35934</v>
      </c>
      <c r="E834" s="67">
        <v>35912</v>
      </c>
      <c r="F834" t="s">
        <v>249</v>
      </c>
      <c r="G834">
        <v>3.2</v>
      </c>
      <c r="H834" t="s">
        <v>162</v>
      </c>
      <c r="I834" t="s">
        <v>163</v>
      </c>
    </row>
    <row r="835" spans="1:9">
      <c r="A835">
        <v>11042</v>
      </c>
      <c r="B835" t="s">
        <v>210</v>
      </c>
      <c r="C835" s="67">
        <v>35907</v>
      </c>
      <c r="D835" s="67">
        <v>35921</v>
      </c>
      <c r="E835" s="67">
        <v>35916</v>
      </c>
      <c r="F835" t="s">
        <v>249</v>
      </c>
      <c r="G835">
        <v>29.99</v>
      </c>
      <c r="H835" t="s">
        <v>210</v>
      </c>
      <c r="I835" t="s">
        <v>137</v>
      </c>
    </row>
    <row r="836" spans="1:9">
      <c r="A836">
        <v>11044</v>
      </c>
      <c r="B836" t="s">
        <v>224</v>
      </c>
      <c r="C836" s="67">
        <v>35908</v>
      </c>
      <c r="D836" s="67">
        <v>35936</v>
      </c>
      <c r="E836" s="67">
        <v>35916</v>
      </c>
      <c r="F836" t="s">
        <v>249</v>
      </c>
      <c r="G836">
        <v>8.72</v>
      </c>
      <c r="H836" t="s">
        <v>225</v>
      </c>
      <c r="I836" t="s">
        <v>226</v>
      </c>
    </row>
    <row r="837" spans="1:9">
      <c r="A837">
        <v>11049</v>
      </c>
      <c r="B837" t="s">
        <v>228</v>
      </c>
      <c r="C837" s="67">
        <v>35909</v>
      </c>
      <c r="D837" s="67">
        <v>35937</v>
      </c>
      <c r="E837" s="67">
        <v>35919</v>
      </c>
      <c r="F837" t="s">
        <v>249</v>
      </c>
      <c r="G837">
        <v>8.34</v>
      </c>
      <c r="H837" t="s">
        <v>228</v>
      </c>
      <c r="I837" t="s">
        <v>137</v>
      </c>
    </row>
    <row r="838" spans="1:9">
      <c r="A838">
        <v>11052</v>
      </c>
      <c r="B838" t="s">
        <v>135</v>
      </c>
      <c r="C838" s="67">
        <v>35912</v>
      </c>
      <c r="D838" s="67">
        <v>35940</v>
      </c>
      <c r="E838" s="67">
        <v>35916</v>
      </c>
      <c r="F838" t="s">
        <v>249</v>
      </c>
      <c r="G838">
        <v>67.26</v>
      </c>
      <c r="H838" t="s">
        <v>135</v>
      </c>
      <c r="I838" t="s">
        <v>137</v>
      </c>
    </row>
    <row r="839" spans="1:9">
      <c r="A839">
        <v>11054</v>
      </c>
      <c r="B839" t="s">
        <v>213</v>
      </c>
      <c r="C839" s="67">
        <v>35913</v>
      </c>
      <c r="D839" s="67">
        <v>35941</v>
      </c>
      <c r="E839" s="67"/>
      <c r="F839" t="s">
        <v>249</v>
      </c>
      <c r="G839">
        <v>0.33</v>
      </c>
      <c r="H839" t="s">
        <v>213</v>
      </c>
      <c r="I839" t="s">
        <v>200</v>
      </c>
    </row>
    <row r="840" spans="1:9">
      <c r="A840">
        <v>11064</v>
      </c>
      <c r="B840" t="s">
        <v>197</v>
      </c>
      <c r="C840" s="67">
        <v>35916</v>
      </c>
      <c r="D840" s="67">
        <v>35944</v>
      </c>
      <c r="E840" s="67">
        <v>35919</v>
      </c>
      <c r="F840" t="s">
        <v>249</v>
      </c>
      <c r="G840">
        <v>30.09</v>
      </c>
      <c r="H840" t="s">
        <v>197</v>
      </c>
      <c r="I840" t="s">
        <v>145</v>
      </c>
    </row>
    <row r="841" spans="1:9">
      <c r="A841">
        <v>11065</v>
      </c>
      <c r="B841" t="s">
        <v>211</v>
      </c>
      <c r="C841" s="67">
        <v>35916</v>
      </c>
      <c r="D841" s="67">
        <v>35944</v>
      </c>
      <c r="E841" s="67"/>
      <c r="F841" t="s">
        <v>249</v>
      </c>
      <c r="G841">
        <v>12.91</v>
      </c>
      <c r="H841" t="s">
        <v>211</v>
      </c>
      <c r="I841" t="s">
        <v>208</v>
      </c>
    </row>
    <row r="842" spans="1:9">
      <c r="A842">
        <v>11070</v>
      </c>
      <c r="B842" t="s">
        <v>149</v>
      </c>
      <c r="C842" s="67">
        <v>35920</v>
      </c>
      <c r="D842" s="67">
        <v>35948</v>
      </c>
      <c r="E842" s="67"/>
      <c r="F842" t="s">
        <v>249</v>
      </c>
      <c r="G842">
        <v>136</v>
      </c>
      <c r="H842" t="s">
        <v>149</v>
      </c>
      <c r="I842" t="s">
        <v>150</v>
      </c>
    </row>
    <row r="843" spans="1:9">
      <c r="A843">
        <v>11071</v>
      </c>
      <c r="B843" t="s">
        <v>211</v>
      </c>
      <c r="C843" s="67">
        <v>35920</v>
      </c>
      <c r="D843" s="67">
        <v>35948</v>
      </c>
      <c r="E843" s="67"/>
      <c r="F843" t="s">
        <v>249</v>
      </c>
      <c r="G843">
        <v>0.93</v>
      </c>
      <c r="H843" t="s">
        <v>211</v>
      </c>
      <c r="I843" t="s">
        <v>208</v>
      </c>
    </row>
  </sheetData>
  <mergeCells count="1">
    <mergeCell ref="B1:G1"/>
  </mergeCells>
  <pageMargins left="0.7" right="0.7" top="0.75" bottom="0.75" header="0.3" footer="0.3"/>
  <headerFooter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workbookViewId="0">
      <selection activeCell="B1" sqref="B1:G1"/>
    </sheetView>
  </sheetViews>
  <sheetFormatPr defaultColWidth="9" defaultRowHeight="14.4"/>
  <cols>
    <col min="1" max="1" width="12.1111111111111" customWidth="1"/>
    <col min="2" max="2" width="29.5555555555556" customWidth="1"/>
    <col min="3" max="3" width="34.5555555555556" customWidth="1"/>
    <col min="4" max="4" width="16.8888888888889" customWidth="1"/>
    <col min="5" max="5" width="11.3333333333333" customWidth="1"/>
    <col min="6" max="6" width="14.6666666666667" customWidth="1"/>
    <col min="7" max="7" width="15.6666666666667" customWidth="1"/>
    <col min="8" max="8" width="14.6666666666667" customWidth="1"/>
    <col min="9" max="9" width="16.8888888888889" customWidth="1"/>
  </cols>
  <sheetData>
    <row r="1" ht="23.4" spans="1:9">
      <c r="B1" s="16" t="s">
        <v>250</v>
      </c>
      <c r="C1" s="16"/>
      <c r="D1" s="16"/>
      <c r="E1" s="16"/>
      <c r="F1" s="16"/>
      <c r="G1" s="16"/>
    </row>
    <row r="9" spans="1:9">
      <c r="A9" s="93" t="s">
        <v>1</v>
      </c>
      <c r="B9" s="93" t="s">
        <v>2</v>
      </c>
      <c r="C9" s="93" t="s">
        <v>3</v>
      </c>
      <c r="D9" s="93" t="s">
        <v>4</v>
      </c>
      <c r="E9" s="93" t="s">
        <v>5</v>
      </c>
      <c r="F9" s="93" t="s">
        <v>6</v>
      </c>
      <c r="G9" s="93" t="s">
        <v>7</v>
      </c>
      <c r="H9" s="93" t="s">
        <v>8</v>
      </c>
      <c r="I9" s="93" t="s">
        <v>9</v>
      </c>
    </row>
    <row r="10" hidden="1" spans="1:9">
      <c r="A10">
        <v>1</v>
      </c>
      <c r="B10" t="s">
        <v>10</v>
      </c>
      <c r="C10" t="s">
        <v>11</v>
      </c>
      <c r="D10" t="s">
        <v>12</v>
      </c>
      <c r="E10" s="94">
        <v>18</v>
      </c>
      <c r="F10">
        <v>39</v>
      </c>
      <c r="G10">
        <v>0</v>
      </c>
      <c r="H10">
        <v>10</v>
      </c>
      <c r="I10" t="b">
        <v>0</v>
      </c>
    </row>
    <row r="11" hidden="1" spans="1:9">
      <c r="A11">
        <v>2</v>
      </c>
      <c r="B11" t="s">
        <v>13</v>
      </c>
      <c r="C11" t="s">
        <v>11</v>
      </c>
      <c r="D11" t="s">
        <v>12</v>
      </c>
      <c r="E11" s="94">
        <v>19</v>
      </c>
      <c r="F11">
        <v>17</v>
      </c>
      <c r="G11">
        <v>40</v>
      </c>
      <c r="H11">
        <v>25</v>
      </c>
      <c r="I11" t="b">
        <v>0</v>
      </c>
    </row>
    <row r="12" hidden="1" spans="1:9">
      <c r="A12">
        <v>3</v>
      </c>
      <c r="B12" t="s">
        <v>14</v>
      </c>
      <c r="C12" t="s">
        <v>11</v>
      </c>
      <c r="D12" t="s">
        <v>15</v>
      </c>
      <c r="E12" s="94">
        <v>10</v>
      </c>
      <c r="F12">
        <v>13</v>
      </c>
      <c r="G12">
        <v>70</v>
      </c>
      <c r="H12">
        <v>25</v>
      </c>
      <c r="I12" t="b">
        <v>0</v>
      </c>
    </row>
    <row r="13" hidden="1" spans="1:9">
      <c r="A13">
        <v>4</v>
      </c>
      <c r="B13" t="s">
        <v>16</v>
      </c>
      <c r="C13" t="s">
        <v>17</v>
      </c>
      <c r="D13" t="s">
        <v>15</v>
      </c>
      <c r="E13" s="94">
        <v>22</v>
      </c>
      <c r="F13">
        <v>53</v>
      </c>
      <c r="G13">
        <v>0</v>
      </c>
      <c r="H13">
        <v>0</v>
      </c>
      <c r="I13" t="b">
        <v>0</v>
      </c>
    </row>
    <row r="14" hidden="1" spans="1:9">
      <c r="A14">
        <v>5</v>
      </c>
      <c r="B14" t="s">
        <v>18</v>
      </c>
      <c r="C14" t="s">
        <v>17</v>
      </c>
      <c r="D14" t="s">
        <v>15</v>
      </c>
      <c r="E14" s="94">
        <v>21.35</v>
      </c>
      <c r="F14">
        <v>0</v>
      </c>
      <c r="G14">
        <v>0</v>
      </c>
      <c r="H14">
        <v>0</v>
      </c>
      <c r="I14" t="b">
        <v>1</v>
      </c>
    </row>
    <row r="15" hidden="1" spans="1:9">
      <c r="A15">
        <v>6</v>
      </c>
      <c r="B15" t="s">
        <v>19</v>
      </c>
      <c r="C15" t="s">
        <v>20</v>
      </c>
      <c r="D15" t="s">
        <v>15</v>
      </c>
      <c r="E15" s="94">
        <v>25</v>
      </c>
      <c r="F15">
        <v>120</v>
      </c>
      <c r="G15">
        <v>0</v>
      </c>
      <c r="H15">
        <v>25</v>
      </c>
      <c r="I15" t="b">
        <v>0</v>
      </c>
    </row>
    <row r="16" hidden="1" spans="1:9">
      <c r="A16">
        <v>7</v>
      </c>
      <c r="B16" t="s">
        <v>21</v>
      </c>
      <c r="C16" t="s">
        <v>20</v>
      </c>
      <c r="D16" t="s">
        <v>22</v>
      </c>
      <c r="E16" s="94">
        <v>30</v>
      </c>
      <c r="F16">
        <v>15</v>
      </c>
      <c r="G16">
        <v>0</v>
      </c>
      <c r="H16">
        <v>10</v>
      </c>
      <c r="I16" t="b">
        <v>0</v>
      </c>
    </row>
    <row r="17" hidden="1" spans="1:9">
      <c r="A17">
        <v>8</v>
      </c>
      <c r="B17" t="s">
        <v>23</v>
      </c>
      <c r="C17" t="s">
        <v>20</v>
      </c>
      <c r="D17" t="s">
        <v>15</v>
      </c>
      <c r="E17" s="94">
        <v>40</v>
      </c>
      <c r="F17">
        <v>6</v>
      </c>
      <c r="G17">
        <v>0</v>
      </c>
      <c r="H17">
        <v>0</v>
      </c>
      <c r="I17" t="b">
        <v>0</v>
      </c>
    </row>
    <row r="18" hidden="1" spans="1:9">
      <c r="A18">
        <v>9</v>
      </c>
      <c r="B18" t="s">
        <v>24</v>
      </c>
      <c r="C18" t="s">
        <v>25</v>
      </c>
      <c r="D18" t="s">
        <v>26</v>
      </c>
      <c r="E18" s="94">
        <v>97</v>
      </c>
      <c r="F18">
        <v>29</v>
      </c>
      <c r="G18">
        <v>0</v>
      </c>
      <c r="H18">
        <v>0</v>
      </c>
      <c r="I18" t="b">
        <v>1</v>
      </c>
    </row>
    <row r="19" hidden="1" spans="1:9">
      <c r="A19">
        <v>10</v>
      </c>
      <c r="B19" t="s">
        <v>27</v>
      </c>
      <c r="C19" t="s">
        <v>25</v>
      </c>
      <c r="D19" t="s">
        <v>28</v>
      </c>
      <c r="E19" s="94">
        <v>31</v>
      </c>
      <c r="F19">
        <v>31</v>
      </c>
      <c r="G19">
        <v>0</v>
      </c>
      <c r="H19">
        <v>0</v>
      </c>
      <c r="I19" t="b">
        <v>0</v>
      </c>
    </row>
    <row r="20" spans="1:9">
      <c r="A20">
        <v>11</v>
      </c>
      <c r="B20" t="s">
        <v>29</v>
      </c>
      <c r="C20" t="s">
        <v>30</v>
      </c>
      <c r="D20" t="s">
        <v>31</v>
      </c>
      <c r="E20" s="94">
        <v>21</v>
      </c>
      <c r="F20">
        <v>22</v>
      </c>
      <c r="G20">
        <v>30</v>
      </c>
      <c r="H20">
        <v>30</v>
      </c>
      <c r="I20" t="b">
        <v>0</v>
      </c>
    </row>
    <row r="21" spans="1:9">
      <c r="A21">
        <v>12</v>
      </c>
      <c r="B21" t="s">
        <v>32</v>
      </c>
      <c r="C21" t="s">
        <v>30</v>
      </c>
      <c r="D21" t="s">
        <v>31</v>
      </c>
      <c r="E21" s="94">
        <v>38</v>
      </c>
      <c r="F21">
        <v>86</v>
      </c>
      <c r="G21">
        <v>0</v>
      </c>
      <c r="H21">
        <v>0</v>
      </c>
      <c r="I21" t="b">
        <v>0</v>
      </c>
    </row>
    <row r="22" hidden="1" spans="1:9">
      <c r="A22">
        <v>13</v>
      </c>
      <c r="B22" t="s">
        <v>33</v>
      </c>
      <c r="C22" t="s">
        <v>34</v>
      </c>
      <c r="D22" t="s">
        <v>28</v>
      </c>
      <c r="E22" s="94">
        <v>6</v>
      </c>
      <c r="F22">
        <v>24</v>
      </c>
      <c r="G22">
        <v>0</v>
      </c>
      <c r="H22">
        <v>5</v>
      </c>
      <c r="I22" t="b">
        <v>0</v>
      </c>
    </row>
    <row r="23" hidden="1" spans="1:9">
      <c r="A23">
        <v>14</v>
      </c>
      <c r="B23" t="s">
        <v>35</v>
      </c>
      <c r="C23" t="s">
        <v>34</v>
      </c>
      <c r="D23" t="s">
        <v>22</v>
      </c>
      <c r="E23" s="94">
        <v>23.25</v>
      </c>
      <c r="F23">
        <v>35</v>
      </c>
      <c r="G23">
        <v>0</v>
      </c>
      <c r="H23">
        <v>0</v>
      </c>
      <c r="I23" t="b">
        <v>0</v>
      </c>
    </row>
    <row r="24" hidden="1" spans="1:9">
      <c r="A24">
        <v>15</v>
      </c>
      <c r="B24" t="s">
        <v>36</v>
      </c>
      <c r="C24" t="s">
        <v>34</v>
      </c>
      <c r="D24" t="s">
        <v>15</v>
      </c>
      <c r="E24" s="94">
        <v>15.5</v>
      </c>
      <c r="F24">
        <v>39</v>
      </c>
      <c r="G24">
        <v>0</v>
      </c>
      <c r="H24">
        <v>5</v>
      </c>
      <c r="I24" t="b">
        <v>0</v>
      </c>
    </row>
    <row r="25" hidden="1" spans="1:9">
      <c r="A25">
        <v>16</v>
      </c>
      <c r="B25" t="s">
        <v>37</v>
      </c>
      <c r="C25" t="s">
        <v>38</v>
      </c>
      <c r="D25" t="s">
        <v>39</v>
      </c>
      <c r="E25" s="94">
        <v>17.45</v>
      </c>
      <c r="F25">
        <v>29</v>
      </c>
      <c r="G25">
        <v>0</v>
      </c>
      <c r="H25">
        <v>10</v>
      </c>
      <c r="I25" t="b">
        <v>0</v>
      </c>
    </row>
    <row r="26" hidden="1" spans="1:9">
      <c r="A26">
        <v>17</v>
      </c>
      <c r="B26" t="s">
        <v>40</v>
      </c>
      <c r="C26" t="s">
        <v>38</v>
      </c>
      <c r="D26" t="s">
        <v>26</v>
      </c>
      <c r="E26" s="94">
        <v>39</v>
      </c>
      <c r="F26">
        <v>0</v>
      </c>
      <c r="G26">
        <v>0</v>
      </c>
      <c r="H26">
        <v>0</v>
      </c>
      <c r="I26" t="b">
        <v>1</v>
      </c>
    </row>
    <row r="27" hidden="1" spans="1:9">
      <c r="A27">
        <v>18</v>
      </c>
      <c r="B27" t="s">
        <v>41</v>
      </c>
      <c r="C27" t="s">
        <v>38</v>
      </c>
      <c r="D27" t="s">
        <v>28</v>
      </c>
      <c r="E27" s="94">
        <v>62.5</v>
      </c>
      <c r="F27">
        <v>42</v>
      </c>
      <c r="G27">
        <v>0</v>
      </c>
      <c r="H27">
        <v>0</v>
      </c>
      <c r="I27" t="b">
        <v>0</v>
      </c>
    </row>
    <row r="28" hidden="1" spans="1:9">
      <c r="A28">
        <v>19</v>
      </c>
      <c r="B28" t="s">
        <v>42</v>
      </c>
      <c r="C28" t="s">
        <v>43</v>
      </c>
      <c r="D28" t="s">
        <v>39</v>
      </c>
      <c r="E28" s="94">
        <v>9.2</v>
      </c>
      <c r="F28">
        <v>25</v>
      </c>
      <c r="G28">
        <v>0</v>
      </c>
      <c r="H28">
        <v>5</v>
      </c>
      <c r="I28" t="b">
        <v>0</v>
      </c>
    </row>
    <row r="29" hidden="1" spans="1:9">
      <c r="A29">
        <v>20</v>
      </c>
      <c r="B29" t="s">
        <v>44</v>
      </c>
      <c r="C29" t="s">
        <v>43</v>
      </c>
      <c r="D29" t="s">
        <v>39</v>
      </c>
      <c r="E29" s="94">
        <v>81</v>
      </c>
      <c r="F29">
        <v>40</v>
      </c>
      <c r="G29">
        <v>0</v>
      </c>
      <c r="H29">
        <v>0</v>
      </c>
      <c r="I29" t="b">
        <v>0</v>
      </c>
    </row>
    <row r="30" hidden="1" spans="1:9">
      <c r="A30">
        <v>21</v>
      </c>
      <c r="B30" t="s">
        <v>45</v>
      </c>
      <c r="C30" t="s">
        <v>43</v>
      </c>
      <c r="D30" t="s">
        <v>39</v>
      </c>
      <c r="E30" s="94">
        <v>10</v>
      </c>
      <c r="F30">
        <v>3</v>
      </c>
      <c r="G30">
        <v>40</v>
      </c>
      <c r="H30">
        <v>5</v>
      </c>
      <c r="I30" t="b">
        <v>0</v>
      </c>
    </row>
    <row r="31" hidden="1" spans="1:9">
      <c r="A31">
        <v>22</v>
      </c>
      <c r="B31" t="s">
        <v>46</v>
      </c>
      <c r="C31" t="s">
        <v>47</v>
      </c>
      <c r="D31" t="s">
        <v>48</v>
      </c>
      <c r="E31" s="94">
        <v>21</v>
      </c>
      <c r="F31">
        <v>104</v>
      </c>
      <c r="G31">
        <v>0</v>
      </c>
      <c r="H31">
        <v>25</v>
      </c>
      <c r="I31" t="b">
        <v>0</v>
      </c>
    </row>
    <row r="32" hidden="1" spans="1:9">
      <c r="A32">
        <v>23</v>
      </c>
      <c r="B32" t="s">
        <v>49</v>
      </c>
      <c r="C32" t="s">
        <v>47</v>
      </c>
      <c r="D32" t="s">
        <v>48</v>
      </c>
      <c r="E32" s="94">
        <v>9</v>
      </c>
      <c r="F32">
        <v>61</v>
      </c>
      <c r="G32">
        <v>0</v>
      </c>
      <c r="H32">
        <v>25</v>
      </c>
      <c r="I32" t="b">
        <v>0</v>
      </c>
    </row>
    <row r="33" hidden="1" spans="1:9">
      <c r="A33">
        <v>24</v>
      </c>
      <c r="B33" t="s">
        <v>50</v>
      </c>
      <c r="C33" t="s">
        <v>51</v>
      </c>
      <c r="D33" t="s">
        <v>12</v>
      </c>
      <c r="E33" s="94">
        <v>4.5</v>
      </c>
      <c r="F33">
        <v>20</v>
      </c>
      <c r="G33">
        <v>0</v>
      </c>
      <c r="H33">
        <v>0</v>
      </c>
      <c r="I33" t="b">
        <v>1</v>
      </c>
    </row>
    <row r="34" hidden="1" spans="1:9">
      <c r="A34">
        <v>25</v>
      </c>
      <c r="B34" t="s">
        <v>52</v>
      </c>
      <c r="C34" t="s">
        <v>53</v>
      </c>
      <c r="D34" t="s">
        <v>39</v>
      </c>
      <c r="E34" s="94">
        <v>14</v>
      </c>
      <c r="F34">
        <v>76</v>
      </c>
      <c r="G34">
        <v>0</v>
      </c>
      <c r="H34">
        <v>30</v>
      </c>
      <c r="I34" t="b">
        <v>0</v>
      </c>
    </row>
    <row r="35" hidden="1" spans="1:9">
      <c r="A35">
        <v>26</v>
      </c>
      <c r="B35" t="s">
        <v>54</v>
      </c>
      <c r="C35" t="s">
        <v>53</v>
      </c>
      <c r="D35" t="s">
        <v>39</v>
      </c>
      <c r="E35" s="94">
        <v>31.23</v>
      </c>
      <c r="F35">
        <v>15</v>
      </c>
      <c r="G35">
        <v>0</v>
      </c>
      <c r="H35">
        <v>0</v>
      </c>
      <c r="I35" t="b">
        <v>0</v>
      </c>
    </row>
    <row r="36" hidden="1" spans="1:9">
      <c r="A36">
        <v>27</v>
      </c>
      <c r="B36" t="s">
        <v>55</v>
      </c>
      <c r="C36" t="s">
        <v>53</v>
      </c>
      <c r="D36" t="s">
        <v>39</v>
      </c>
      <c r="E36" s="94">
        <v>43.9</v>
      </c>
      <c r="F36">
        <v>49</v>
      </c>
      <c r="G36">
        <v>0</v>
      </c>
      <c r="H36">
        <v>30</v>
      </c>
      <c r="I36" t="b">
        <v>0</v>
      </c>
    </row>
    <row r="37" hidden="1" spans="1:9">
      <c r="A37">
        <v>28</v>
      </c>
      <c r="B37" t="s">
        <v>56</v>
      </c>
      <c r="C37" t="s">
        <v>57</v>
      </c>
      <c r="D37" t="s">
        <v>22</v>
      </c>
      <c r="E37" s="94">
        <v>45.6</v>
      </c>
      <c r="F37">
        <v>26</v>
      </c>
      <c r="G37">
        <v>0</v>
      </c>
      <c r="H37">
        <v>0</v>
      </c>
      <c r="I37" t="b">
        <v>1</v>
      </c>
    </row>
    <row r="38" hidden="1" spans="1:9">
      <c r="A38">
        <v>29</v>
      </c>
      <c r="B38" t="s">
        <v>58</v>
      </c>
      <c r="C38" t="s">
        <v>57</v>
      </c>
      <c r="D38" t="s">
        <v>26</v>
      </c>
      <c r="E38" s="94">
        <v>123.79</v>
      </c>
      <c r="F38">
        <v>0</v>
      </c>
      <c r="G38">
        <v>0</v>
      </c>
      <c r="H38">
        <v>0</v>
      </c>
      <c r="I38" t="b">
        <v>1</v>
      </c>
    </row>
    <row r="39" hidden="1" spans="1:9">
      <c r="A39">
        <v>30</v>
      </c>
      <c r="B39" t="s">
        <v>59</v>
      </c>
      <c r="C39" t="s">
        <v>60</v>
      </c>
      <c r="D39" t="s">
        <v>28</v>
      </c>
      <c r="E39" s="94">
        <v>25.89</v>
      </c>
      <c r="F39">
        <v>10</v>
      </c>
      <c r="G39">
        <v>0</v>
      </c>
      <c r="H39">
        <v>15</v>
      </c>
      <c r="I39" t="b">
        <v>0</v>
      </c>
    </row>
    <row r="40" hidden="1" spans="1:9">
      <c r="A40">
        <v>31</v>
      </c>
      <c r="B40" t="s">
        <v>61</v>
      </c>
      <c r="C40" t="s">
        <v>62</v>
      </c>
      <c r="D40" t="s">
        <v>31</v>
      </c>
      <c r="E40" s="94">
        <v>12.5</v>
      </c>
      <c r="F40">
        <v>0</v>
      </c>
      <c r="G40">
        <v>70</v>
      </c>
      <c r="H40">
        <v>20</v>
      </c>
      <c r="I40" t="b">
        <v>0</v>
      </c>
    </row>
    <row r="41" spans="1:9">
      <c r="A41">
        <v>32</v>
      </c>
      <c r="B41" t="s">
        <v>63</v>
      </c>
      <c r="C41" t="s">
        <v>62</v>
      </c>
      <c r="D41" t="s">
        <v>31</v>
      </c>
      <c r="E41" s="94">
        <v>32</v>
      </c>
      <c r="F41">
        <v>9</v>
      </c>
      <c r="G41">
        <v>40</v>
      </c>
      <c r="H41">
        <v>25</v>
      </c>
      <c r="I41" t="b">
        <v>0</v>
      </c>
    </row>
    <row r="42" spans="1:9">
      <c r="A42">
        <v>33</v>
      </c>
      <c r="B42" t="s">
        <v>64</v>
      </c>
      <c r="C42" t="s">
        <v>65</v>
      </c>
      <c r="D42" t="s">
        <v>31</v>
      </c>
      <c r="E42" s="94">
        <v>2.5</v>
      </c>
      <c r="F42">
        <v>112</v>
      </c>
      <c r="G42">
        <v>0</v>
      </c>
      <c r="H42">
        <v>20</v>
      </c>
      <c r="I42" t="b">
        <v>0</v>
      </c>
    </row>
    <row r="43" hidden="1" spans="1:9">
      <c r="A43">
        <v>34</v>
      </c>
      <c r="B43" t="s">
        <v>66</v>
      </c>
      <c r="C43" t="s">
        <v>67</v>
      </c>
      <c r="D43" t="s">
        <v>12</v>
      </c>
      <c r="E43" s="94">
        <v>14</v>
      </c>
      <c r="F43">
        <v>111</v>
      </c>
      <c r="G43">
        <v>0</v>
      </c>
      <c r="H43">
        <v>15</v>
      </c>
      <c r="I43" t="b">
        <v>0</v>
      </c>
    </row>
    <row r="44" hidden="1" spans="1:9">
      <c r="A44">
        <v>35</v>
      </c>
      <c r="B44" t="s">
        <v>68</v>
      </c>
      <c r="C44" t="s">
        <v>67</v>
      </c>
      <c r="D44" t="s">
        <v>12</v>
      </c>
      <c r="E44" s="94">
        <v>18</v>
      </c>
      <c r="F44">
        <v>20</v>
      </c>
      <c r="G44">
        <v>0</v>
      </c>
      <c r="H44">
        <v>15</v>
      </c>
      <c r="I44" t="b">
        <v>0</v>
      </c>
    </row>
    <row r="45" hidden="1" spans="1:9">
      <c r="A45">
        <v>36</v>
      </c>
      <c r="B45" t="s">
        <v>69</v>
      </c>
      <c r="C45" t="s">
        <v>70</v>
      </c>
      <c r="D45" t="s">
        <v>28</v>
      </c>
      <c r="E45" s="94">
        <v>19</v>
      </c>
      <c r="F45">
        <v>112</v>
      </c>
      <c r="G45">
        <v>0</v>
      </c>
      <c r="H45">
        <v>20</v>
      </c>
      <c r="I45" t="b">
        <v>0</v>
      </c>
    </row>
    <row r="46" hidden="1" spans="1:9">
      <c r="A46">
        <v>37</v>
      </c>
      <c r="B46" t="s">
        <v>71</v>
      </c>
      <c r="C46" t="s">
        <v>70</v>
      </c>
      <c r="D46" t="s">
        <v>28</v>
      </c>
      <c r="E46" s="94">
        <v>26</v>
      </c>
      <c r="F46">
        <v>11</v>
      </c>
      <c r="G46">
        <v>50</v>
      </c>
      <c r="H46">
        <v>25</v>
      </c>
      <c r="I46" t="b">
        <v>0</v>
      </c>
    </row>
    <row r="47" hidden="1" spans="1:9">
      <c r="A47">
        <v>38</v>
      </c>
      <c r="B47" t="s">
        <v>72</v>
      </c>
      <c r="C47" t="s">
        <v>73</v>
      </c>
      <c r="D47" t="s">
        <v>12</v>
      </c>
      <c r="E47" s="94">
        <v>263.5</v>
      </c>
      <c r="F47">
        <v>17</v>
      </c>
      <c r="G47">
        <v>0</v>
      </c>
      <c r="H47">
        <v>15</v>
      </c>
      <c r="I47" t="b">
        <v>0</v>
      </c>
    </row>
    <row r="48" hidden="1" spans="1:9">
      <c r="A48">
        <v>39</v>
      </c>
      <c r="B48" t="s">
        <v>74</v>
      </c>
      <c r="C48" t="s">
        <v>73</v>
      </c>
      <c r="D48" t="s">
        <v>12</v>
      </c>
      <c r="E48" s="94">
        <v>18</v>
      </c>
      <c r="F48">
        <v>69</v>
      </c>
      <c r="G48">
        <v>0</v>
      </c>
      <c r="H48">
        <v>5</v>
      </c>
      <c r="I48" t="b">
        <v>0</v>
      </c>
    </row>
    <row r="49" hidden="1" spans="1:9">
      <c r="A49">
        <v>40</v>
      </c>
      <c r="B49" t="s">
        <v>75</v>
      </c>
      <c r="C49" t="s">
        <v>76</v>
      </c>
      <c r="D49" t="s">
        <v>28</v>
      </c>
      <c r="E49" s="94">
        <v>18.4</v>
      </c>
      <c r="F49">
        <v>123</v>
      </c>
      <c r="G49">
        <v>0</v>
      </c>
      <c r="H49">
        <v>30</v>
      </c>
      <c r="I49" t="b">
        <v>0</v>
      </c>
    </row>
    <row r="50" hidden="1" spans="1:9">
      <c r="A50">
        <v>41</v>
      </c>
      <c r="B50" t="s">
        <v>77</v>
      </c>
      <c r="C50" t="s">
        <v>76</v>
      </c>
      <c r="D50" t="s">
        <v>28</v>
      </c>
      <c r="E50" s="94">
        <v>9.65</v>
      </c>
      <c r="F50">
        <v>85</v>
      </c>
      <c r="G50">
        <v>0</v>
      </c>
      <c r="H50">
        <v>10</v>
      </c>
      <c r="I50" t="b">
        <v>0</v>
      </c>
    </row>
    <row r="51" hidden="1" spans="1:9">
      <c r="A51">
        <v>42</v>
      </c>
      <c r="B51" t="s">
        <v>78</v>
      </c>
      <c r="C51" t="s">
        <v>79</v>
      </c>
      <c r="D51" t="s">
        <v>48</v>
      </c>
      <c r="E51" s="94">
        <v>14</v>
      </c>
      <c r="F51">
        <v>26</v>
      </c>
      <c r="G51">
        <v>0</v>
      </c>
      <c r="H51">
        <v>0</v>
      </c>
      <c r="I51" t="b">
        <v>1</v>
      </c>
    </row>
    <row r="52" hidden="1" spans="1:9">
      <c r="A52">
        <v>43</v>
      </c>
      <c r="B52" t="s">
        <v>80</v>
      </c>
      <c r="C52" t="s">
        <v>79</v>
      </c>
      <c r="D52" t="s">
        <v>12</v>
      </c>
      <c r="E52" s="94">
        <v>46</v>
      </c>
      <c r="F52">
        <v>17</v>
      </c>
      <c r="G52">
        <v>10</v>
      </c>
      <c r="H52">
        <v>25</v>
      </c>
      <c r="I52" t="b">
        <v>0</v>
      </c>
    </row>
    <row r="53" hidden="1" spans="1:9">
      <c r="A53">
        <v>44</v>
      </c>
      <c r="B53" t="s">
        <v>81</v>
      </c>
      <c r="C53" t="s">
        <v>79</v>
      </c>
      <c r="D53" t="s">
        <v>15</v>
      </c>
      <c r="E53" s="94">
        <v>19.45</v>
      </c>
      <c r="F53">
        <v>27</v>
      </c>
      <c r="G53">
        <v>0</v>
      </c>
      <c r="H53">
        <v>15</v>
      </c>
      <c r="I53" t="b">
        <v>0</v>
      </c>
    </row>
    <row r="54" hidden="1" spans="1:9">
      <c r="A54">
        <v>45</v>
      </c>
      <c r="B54" t="s">
        <v>82</v>
      </c>
      <c r="C54" t="s">
        <v>83</v>
      </c>
      <c r="D54" t="s">
        <v>28</v>
      </c>
      <c r="E54" s="94">
        <v>9.5</v>
      </c>
      <c r="F54">
        <v>5</v>
      </c>
      <c r="G54">
        <v>70</v>
      </c>
      <c r="H54">
        <v>15</v>
      </c>
      <c r="I54" t="b">
        <v>0</v>
      </c>
    </row>
    <row r="55" hidden="1" spans="1:9">
      <c r="A55">
        <v>46</v>
      </c>
      <c r="B55" t="s">
        <v>84</v>
      </c>
      <c r="C55" t="s">
        <v>83</v>
      </c>
      <c r="D55" t="s">
        <v>28</v>
      </c>
      <c r="E55" s="94">
        <v>12</v>
      </c>
      <c r="F55">
        <v>95</v>
      </c>
      <c r="G55">
        <v>0</v>
      </c>
      <c r="H55">
        <v>0</v>
      </c>
      <c r="I55" t="b">
        <v>0</v>
      </c>
    </row>
    <row r="56" hidden="1" spans="1:9">
      <c r="A56">
        <v>47</v>
      </c>
      <c r="B56" t="s">
        <v>85</v>
      </c>
      <c r="C56" t="s">
        <v>86</v>
      </c>
      <c r="D56" t="s">
        <v>39</v>
      </c>
      <c r="E56" s="94">
        <v>9.5</v>
      </c>
      <c r="F56">
        <v>36</v>
      </c>
      <c r="G56">
        <v>0</v>
      </c>
      <c r="H56">
        <v>0</v>
      </c>
      <c r="I56" t="b">
        <v>0</v>
      </c>
    </row>
    <row r="57" hidden="1" spans="1:9">
      <c r="A57">
        <v>48</v>
      </c>
      <c r="B57" t="s">
        <v>87</v>
      </c>
      <c r="C57" t="s">
        <v>86</v>
      </c>
      <c r="D57" t="s">
        <v>39</v>
      </c>
      <c r="E57" s="94">
        <v>12.75</v>
      </c>
      <c r="F57">
        <v>15</v>
      </c>
      <c r="G57">
        <v>70</v>
      </c>
      <c r="H57">
        <v>25</v>
      </c>
      <c r="I57" t="b">
        <v>0</v>
      </c>
    </row>
    <row r="58" hidden="1" spans="1:9">
      <c r="A58">
        <v>49</v>
      </c>
      <c r="B58" t="s">
        <v>88</v>
      </c>
      <c r="C58" t="s">
        <v>89</v>
      </c>
      <c r="D58" t="s">
        <v>39</v>
      </c>
      <c r="E58" s="94">
        <v>20</v>
      </c>
      <c r="F58">
        <v>10</v>
      </c>
      <c r="G58">
        <v>60</v>
      </c>
      <c r="H58">
        <v>15</v>
      </c>
      <c r="I58" t="b">
        <v>0</v>
      </c>
    </row>
    <row r="59" hidden="1" spans="1:9">
      <c r="A59">
        <v>50</v>
      </c>
      <c r="B59" t="s">
        <v>90</v>
      </c>
      <c r="C59" t="s">
        <v>89</v>
      </c>
      <c r="D59" t="s">
        <v>39</v>
      </c>
      <c r="E59" s="94">
        <v>16.25</v>
      </c>
      <c r="F59">
        <v>65</v>
      </c>
      <c r="G59">
        <v>0</v>
      </c>
      <c r="H59">
        <v>30</v>
      </c>
      <c r="I59" t="b">
        <v>0</v>
      </c>
    </row>
    <row r="60" hidden="1" spans="1:9">
      <c r="A60">
        <v>51</v>
      </c>
      <c r="B60" t="s">
        <v>91</v>
      </c>
      <c r="C60" t="s">
        <v>92</v>
      </c>
      <c r="D60" t="s">
        <v>22</v>
      </c>
      <c r="E60" s="94">
        <v>53</v>
      </c>
      <c r="F60">
        <v>20</v>
      </c>
      <c r="G60">
        <v>0</v>
      </c>
      <c r="H60">
        <v>10</v>
      </c>
      <c r="I60" t="b">
        <v>0</v>
      </c>
    </row>
    <row r="61" hidden="1" spans="1:9">
      <c r="A61">
        <v>52</v>
      </c>
      <c r="B61" t="s">
        <v>93</v>
      </c>
      <c r="C61" t="s">
        <v>92</v>
      </c>
      <c r="D61" t="s">
        <v>48</v>
      </c>
      <c r="E61" s="94">
        <v>7</v>
      </c>
      <c r="F61">
        <v>38</v>
      </c>
      <c r="G61">
        <v>0</v>
      </c>
      <c r="H61">
        <v>25</v>
      </c>
      <c r="I61" t="b">
        <v>0</v>
      </c>
    </row>
    <row r="62" hidden="1" spans="1:9">
      <c r="A62">
        <v>53</v>
      </c>
      <c r="B62" t="s">
        <v>94</v>
      </c>
      <c r="C62" t="s">
        <v>92</v>
      </c>
      <c r="D62" t="s">
        <v>26</v>
      </c>
      <c r="E62" s="94">
        <v>32.8</v>
      </c>
      <c r="F62">
        <v>0</v>
      </c>
      <c r="G62">
        <v>0</v>
      </c>
      <c r="H62">
        <v>0</v>
      </c>
      <c r="I62" t="b">
        <v>1</v>
      </c>
    </row>
    <row r="63" hidden="1" spans="1:9">
      <c r="A63">
        <v>54</v>
      </c>
      <c r="B63" t="s">
        <v>95</v>
      </c>
      <c r="C63" t="s">
        <v>96</v>
      </c>
      <c r="D63" t="s">
        <v>26</v>
      </c>
      <c r="E63" s="94">
        <v>7.45</v>
      </c>
      <c r="F63">
        <v>21</v>
      </c>
      <c r="G63">
        <v>0</v>
      </c>
      <c r="H63">
        <v>10</v>
      </c>
      <c r="I63" t="b">
        <v>0</v>
      </c>
    </row>
    <row r="64" hidden="1" spans="1:9">
      <c r="A64">
        <v>55</v>
      </c>
      <c r="B64" t="s">
        <v>97</v>
      </c>
      <c r="C64" t="s">
        <v>96</v>
      </c>
      <c r="D64" t="s">
        <v>26</v>
      </c>
      <c r="E64" s="94">
        <v>24</v>
      </c>
      <c r="F64">
        <v>115</v>
      </c>
      <c r="G64">
        <v>0</v>
      </c>
      <c r="H64">
        <v>20</v>
      </c>
      <c r="I64" t="b">
        <v>0</v>
      </c>
    </row>
    <row r="65" hidden="1" spans="1:9">
      <c r="A65">
        <v>56</v>
      </c>
      <c r="B65" t="s">
        <v>98</v>
      </c>
      <c r="C65" t="s">
        <v>99</v>
      </c>
      <c r="D65" t="s">
        <v>48</v>
      </c>
      <c r="E65" s="94">
        <v>38</v>
      </c>
      <c r="F65">
        <v>21</v>
      </c>
      <c r="G65">
        <v>10</v>
      </c>
      <c r="H65">
        <v>30</v>
      </c>
      <c r="I65" t="b">
        <v>0</v>
      </c>
    </row>
    <row r="66" hidden="1" spans="1:9">
      <c r="A66">
        <v>57</v>
      </c>
      <c r="B66" t="s">
        <v>100</v>
      </c>
      <c r="C66" t="s">
        <v>99</v>
      </c>
      <c r="D66" t="s">
        <v>48</v>
      </c>
      <c r="E66" s="94">
        <v>19.5</v>
      </c>
      <c r="F66">
        <v>36</v>
      </c>
      <c r="G66">
        <v>0</v>
      </c>
      <c r="H66">
        <v>20</v>
      </c>
      <c r="I66" t="b">
        <v>0</v>
      </c>
    </row>
    <row r="67" hidden="1" spans="1:9">
      <c r="A67">
        <v>58</v>
      </c>
      <c r="B67" t="s">
        <v>101</v>
      </c>
      <c r="C67" t="s">
        <v>102</v>
      </c>
      <c r="D67" t="s">
        <v>28</v>
      </c>
      <c r="E67" s="94">
        <v>13.25</v>
      </c>
      <c r="F67">
        <v>62</v>
      </c>
      <c r="G67">
        <v>0</v>
      </c>
      <c r="H67">
        <v>20</v>
      </c>
      <c r="I67" t="b">
        <v>0</v>
      </c>
    </row>
    <row r="68" spans="1:9">
      <c r="A68">
        <v>59</v>
      </c>
      <c r="B68" t="s">
        <v>103</v>
      </c>
      <c r="C68" t="s">
        <v>104</v>
      </c>
      <c r="D68" t="s">
        <v>31</v>
      </c>
      <c r="E68" s="94">
        <v>55</v>
      </c>
      <c r="F68">
        <v>79</v>
      </c>
      <c r="G68">
        <v>0</v>
      </c>
      <c r="H68">
        <v>0</v>
      </c>
      <c r="I68" t="b">
        <v>0</v>
      </c>
    </row>
    <row r="69" spans="1:9">
      <c r="A69">
        <v>60</v>
      </c>
      <c r="B69" t="s">
        <v>105</v>
      </c>
      <c r="C69" t="s">
        <v>104</v>
      </c>
      <c r="D69" t="s">
        <v>31</v>
      </c>
      <c r="E69" s="94">
        <v>34</v>
      </c>
      <c r="F69">
        <v>19</v>
      </c>
      <c r="G69">
        <v>0</v>
      </c>
      <c r="H69">
        <v>0</v>
      </c>
      <c r="I69" t="b">
        <v>0</v>
      </c>
    </row>
    <row r="70" hidden="1" spans="1:9">
      <c r="A70">
        <v>61</v>
      </c>
      <c r="B70" t="s">
        <v>106</v>
      </c>
      <c r="C70" t="s">
        <v>107</v>
      </c>
      <c r="D70" t="s">
        <v>15</v>
      </c>
      <c r="E70" s="94">
        <v>28.5</v>
      </c>
      <c r="F70">
        <v>113</v>
      </c>
      <c r="G70">
        <v>0</v>
      </c>
      <c r="H70">
        <v>25</v>
      </c>
      <c r="I70" t="b">
        <v>0</v>
      </c>
    </row>
    <row r="71" hidden="1" spans="1:9">
      <c r="A71">
        <v>62</v>
      </c>
      <c r="B71" t="s">
        <v>108</v>
      </c>
      <c r="C71" t="s">
        <v>107</v>
      </c>
      <c r="D71" t="s">
        <v>39</v>
      </c>
      <c r="E71" s="94">
        <v>49.3</v>
      </c>
      <c r="F71">
        <v>17</v>
      </c>
      <c r="G71">
        <v>0</v>
      </c>
      <c r="H71">
        <v>0</v>
      </c>
      <c r="I71" t="b">
        <v>0</v>
      </c>
    </row>
    <row r="72" hidden="1" spans="1:9">
      <c r="A72">
        <v>63</v>
      </c>
      <c r="B72" t="s">
        <v>109</v>
      </c>
      <c r="C72" t="s">
        <v>38</v>
      </c>
      <c r="D72" t="s">
        <v>15</v>
      </c>
      <c r="E72" s="94">
        <v>43.9</v>
      </c>
      <c r="F72">
        <v>24</v>
      </c>
      <c r="G72">
        <v>0</v>
      </c>
      <c r="H72">
        <v>5</v>
      </c>
      <c r="I72" t="b">
        <v>0</v>
      </c>
    </row>
    <row r="73" hidden="1" spans="1:9">
      <c r="A73">
        <v>64</v>
      </c>
      <c r="B73" t="s">
        <v>110</v>
      </c>
      <c r="C73" t="s">
        <v>57</v>
      </c>
      <c r="D73" t="s">
        <v>48</v>
      </c>
      <c r="E73" s="94">
        <v>33.25</v>
      </c>
      <c r="F73">
        <v>22</v>
      </c>
      <c r="G73">
        <v>80</v>
      </c>
      <c r="H73">
        <v>30</v>
      </c>
      <c r="I73" t="b">
        <v>0</v>
      </c>
    </row>
    <row r="74" hidden="1" spans="1:9">
      <c r="A74">
        <v>65</v>
      </c>
      <c r="B74" t="s">
        <v>111</v>
      </c>
      <c r="C74" t="s">
        <v>17</v>
      </c>
      <c r="D74" t="s">
        <v>15</v>
      </c>
      <c r="E74" s="94">
        <v>21.05</v>
      </c>
      <c r="F74">
        <v>76</v>
      </c>
      <c r="G74">
        <v>0</v>
      </c>
      <c r="H74">
        <v>0</v>
      </c>
      <c r="I74" t="b">
        <v>0</v>
      </c>
    </row>
    <row r="75" hidden="1" spans="1:9">
      <c r="A75">
        <v>66</v>
      </c>
      <c r="B75" t="s">
        <v>112</v>
      </c>
      <c r="C75" t="s">
        <v>17</v>
      </c>
      <c r="D75" t="s">
        <v>15</v>
      </c>
      <c r="E75" s="94">
        <v>17</v>
      </c>
      <c r="F75">
        <v>4</v>
      </c>
      <c r="G75">
        <v>100</v>
      </c>
      <c r="H75">
        <v>20</v>
      </c>
      <c r="I75" t="b">
        <v>0</v>
      </c>
    </row>
    <row r="76" hidden="1" spans="1:9">
      <c r="A76">
        <v>67</v>
      </c>
      <c r="B76" t="s">
        <v>113</v>
      </c>
      <c r="C76" t="s">
        <v>67</v>
      </c>
      <c r="D76" t="s">
        <v>12</v>
      </c>
      <c r="E76" s="94">
        <v>14</v>
      </c>
      <c r="F76">
        <v>52</v>
      </c>
      <c r="G76">
        <v>0</v>
      </c>
      <c r="H76">
        <v>10</v>
      </c>
      <c r="I76" t="b">
        <v>0</v>
      </c>
    </row>
    <row r="77" hidden="1" spans="1:9">
      <c r="A77">
        <v>68</v>
      </c>
      <c r="B77" t="s">
        <v>114</v>
      </c>
      <c r="C77" t="s">
        <v>43</v>
      </c>
      <c r="D77" t="s">
        <v>39</v>
      </c>
      <c r="E77" s="94">
        <v>12.5</v>
      </c>
      <c r="F77">
        <v>6</v>
      </c>
      <c r="G77">
        <v>10</v>
      </c>
      <c r="H77">
        <v>15</v>
      </c>
      <c r="I77" t="b">
        <v>0</v>
      </c>
    </row>
    <row r="78" spans="1:9">
      <c r="A78">
        <v>69</v>
      </c>
      <c r="B78" t="s">
        <v>115</v>
      </c>
      <c r="C78" t="s">
        <v>65</v>
      </c>
      <c r="D78" t="s">
        <v>31</v>
      </c>
      <c r="E78" s="94">
        <v>36</v>
      </c>
      <c r="F78">
        <v>26</v>
      </c>
      <c r="G78">
        <v>0</v>
      </c>
      <c r="H78">
        <v>15</v>
      </c>
      <c r="I78" t="b">
        <v>0</v>
      </c>
    </row>
    <row r="79" hidden="1" spans="1:9">
      <c r="A79">
        <v>70</v>
      </c>
      <c r="B79" t="s">
        <v>116</v>
      </c>
      <c r="C79" t="s">
        <v>38</v>
      </c>
      <c r="D79" t="s">
        <v>12</v>
      </c>
      <c r="E79" s="94">
        <v>15</v>
      </c>
      <c r="F79">
        <v>15</v>
      </c>
      <c r="G79">
        <v>10</v>
      </c>
      <c r="H79">
        <v>30</v>
      </c>
      <c r="I79" t="b">
        <v>0</v>
      </c>
    </row>
    <row r="80" spans="1:9">
      <c r="A80">
        <v>71</v>
      </c>
      <c r="B80" t="s">
        <v>117</v>
      </c>
      <c r="C80" t="s">
        <v>65</v>
      </c>
      <c r="D80" t="s">
        <v>31</v>
      </c>
      <c r="E80" s="94">
        <v>21.5</v>
      </c>
      <c r="F80">
        <v>26</v>
      </c>
      <c r="G80">
        <v>0</v>
      </c>
      <c r="H80">
        <v>0</v>
      </c>
      <c r="I80" t="b">
        <v>0</v>
      </c>
    </row>
    <row r="81" spans="1:9">
      <c r="A81">
        <v>72</v>
      </c>
      <c r="B81" t="s">
        <v>118</v>
      </c>
      <c r="C81" t="s">
        <v>62</v>
      </c>
      <c r="D81" t="s">
        <v>31</v>
      </c>
      <c r="E81" s="94">
        <v>34.8</v>
      </c>
      <c r="F81">
        <v>14</v>
      </c>
      <c r="G81">
        <v>0</v>
      </c>
      <c r="H81">
        <v>0</v>
      </c>
      <c r="I81" t="b">
        <v>0</v>
      </c>
    </row>
    <row r="82" hidden="1" spans="1:9">
      <c r="A82">
        <v>73</v>
      </c>
      <c r="B82" t="s">
        <v>119</v>
      </c>
      <c r="C82" t="s">
        <v>70</v>
      </c>
      <c r="D82" t="s">
        <v>28</v>
      </c>
      <c r="E82" s="94">
        <v>15</v>
      </c>
      <c r="F82">
        <v>101</v>
      </c>
      <c r="G82">
        <v>0</v>
      </c>
      <c r="H82">
        <v>5</v>
      </c>
      <c r="I82" t="b">
        <v>0</v>
      </c>
    </row>
    <row r="83" hidden="1" spans="1:9">
      <c r="A83">
        <v>74</v>
      </c>
      <c r="B83" t="s">
        <v>120</v>
      </c>
      <c r="C83" t="s">
        <v>25</v>
      </c>
      <c r="D83" t="s">
        <v>22</v>
      </c>
      <c r="E83" s="94">
        <v>10</v>
      </c>
      <c r="F83">
        <v>4</v>
      </c>
      <c r="G83">
        <v>20</v>
      </c>
      <c r="H83">
        <v>5</v>
      </c>
      <c r="I83" t="b">
        <v>0</v>
      </c>
    </row>
    <row r="84" hidden="1" spans="1:9">
      <c r="A84">
        <v>75</v>
      </c>
      <c r="B84" t="s">
        <v>121</v>
      </c>
      <c r="C84" t="s">
        <v>57</v>
      </c>
      <c r="D84" t="s">
        <v>12</v>
      </c>
      <c r="E84" s="94">
        <v>7.75</v>
      </c>
      <c r="F84">
        <v>125</v>
      </c>
      <c r="G84">
        <v>0</v>
      </c>
      <c r="H84">
        <v>25</v>
      </c>
      <c r="I84" t="b">
        <v>0</v>
      </c>
    </row>
    <row r="85" hidden="1" spans="1:9">
      <c r="A85">
        <v>76</v>
      </c>
      <c r="B85" t="s">
        <v>122</v>
      </c>
      <c r="C85" t="s">
        <v>89</v>
      </c>
      <c r="D85" t="s">
        <v>12</v>
      </c>
      <c r="E85" s="94">
        <v>18</v>
      </c>
      <c r="F85">
        <v>57</v>
      </c>
      <c r="G85">
        <v>0</v>
      </c>
      <c r="H85">
        <v>20</v>
      </c>
      <c r="I85" t="b">
        <v>0</v>
      </c>
    </row>
    <row r="86" hidden="1" spans="1:9">
      <c r="A86">
        <v>77</v>
      </c>
      <c r="B86" t="s">
        <v>123</v>
      </c>
      <c r="C86" t="s">
        <v>57</v>
      </c>
      <c r="D86" t="s">
        <v>15</v>
      </c>
      <c r="E86" s="94">
        <v>13</v>
      </c>
      <c r="F86">
        <v>32</v>
      </c>
      <c r="G86">
        <v>0</v>
      </c>
      <c r="H86">
        <v>15</v>
      </c>
      <c r="I86" t="b">
        <v>0</v>
      </c>
    </row>
  </sheetData>
  <mergeCells count="1">
    <mergeCell ref="B1:G1"/>
  </mergeCells>
  <pageMargins left="0.7" right="0.7" top="0.75" bottom="0.75" header="0.3" footer="0.3"/>
  <pageSetup paperSize="1" orientation="portrait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opLeftCell="A3" workbookViewId="0">
      <selection activeCell="K14" sqref="K14"/>
    </sheetView>
  </sheetViews>
  <sheetFormatPr defaultColWidth="9" defaultRowHeight="14.4"/>
  <cols>
    <col min="1" max="1" width="12.1111111111111" customWidth="1"/>
    <col min="2" max="2" width="29.5555555555556" customWidth="1"/>
    <col min="3" max="3" width="34.5555555555556" customWidth="1"/>
    <col min="4" max="4" width="16.8888888888889" customWidth="1"/>
    <col min="5" max="5" width="11.3333333333333" customWidth="1"/>
    <col min="6" max="6" width="14.6666666666667" customWidth="1"/>
    <col min="7" max="7" width="15.6666666666667" customWidth="1"/>
    <col min="8" max="8" width="14.6666666666667" customWidth="1"/>
    <col min="9" max="9" width="16.8888888888889" customWidth="1"/>
  </cols>
  <sheetData>
    <row r="1" ht="23.4" spans="1:9">
      <c r="B1" s="16" t="s">
        <v>251</v>
      </c>
      <c r="C1" s="16"/>
      <c r="D1" s="16"/>
      <c r="E1" s="16"/>
      <c r="F1" s="16"/>
      <c r="G1" s="16"/>
    </row>
    <row r="4" spans="1:9">
      <c r="E4" t="s">
        <v>252</v>
      </c>
      <c r="F4">
        <f>SUBTOTAL(9,F11:F87)</f>
        <v>3119</v>
      </c>
    </row>
    <row r="10" spans="1:9">
      <c r="A10" s="17" t="s">
        <v>1</v>
      </c>
      <c r="B10" s="18" t="s">
        <v>2</v>
      </c>
      <c r="C10" s="18" t="s">
        <v>3</v>
      </c>
      <c r="D10" s="18" t="s">
        <v>4</v>
      </c>
      <c r="E10" s="18" t="s">
        <v>5</v>
      </c>
      <c r="F10" s="18" t="s">
        <v>6</v>
      </c>
      <c r="G10" s="18" t="s">
        <v>7</v>
      </c>
      <c r="H10" s="18" t="s">
        <v>8</v>
      </c>
      <c r="I10" s="19" t="s">
        <v>9</v>
      </c>
    </row>
    <row r="11" spans="1:9">
      <c r="A11" s="77">
        <v>1</v>
      </c>
      <c r="B11" s="78" t="s">
        <v>10</v>
      </c>
      <c r="C11" s="78" t="s">
        <v>11</v>
      </c>
      <c r="D11" s="78" t="s">
        <v>12</v>
      </c>
      <c r="E11" s="79">
        <v>18</v>
      </c>
      <c r="F11" s="78">
        <v>39</v>
      </c>
      <c r="G11" s="78">
        <v>0</v>
      </c>
      <c r="H11" s="78">
        <v>10</v>
      </c>
      <c r="I11" s="80" t="b">
        <v>0</v>
      </c>
    </row>
    <row r="12" spans="1:9">
      <c r="A12" s="81">
        <v>2</v>
      </c>
      <c r="B12" s="82" t="s">
        <v>13</v>
      </c>
      <c r="C12" s="82" t="s">
        <v>11</v>
      </c>
      <c r="D12" s="82" t="s">
        <v>12</v>
      </c>
      <c r="E12" s="83">
        <v>19</v>
      </c>
      <c r="F12" s="82">
        <v>17</v>
      </c>
      <c r="G12" s="82">
        <v>40</v>
      </c>
      <c r="H12" s="82">
        <v>25</v>
      </c>
      <c r="I12" s="84" t="b">
        <v>0</v>
      </c>
    </row>
    <row r="13" spans="1:9">
      <c r="A13" s="85">
        <v>24</v>
      </c>
      <c r="B13" s="86" t="s">
        <v>50</v>
      </c>
      <c r="C13" s="86" t="s">
        <v>51</v>
      </c>
      <c r="D13" s="86" t="s">
        <v>12</v>
      </c>
      <c r="E13" s="87">
        <v>4.5</v>
      </c>
      <c r="F13" s="86">
        <v>20</v>
      </c>
      <c r="G13" s="86">
        <v>0</v>
      </c>
      <c r="H13" s="86">
        <v>0</v>
      </c>
      <c r="I13" s="88" t="b">
        <v>1</v>
      </c>
    </row>
    <row r="14" spans="1:9">
      <c r="A14" s="81">
        <v>34</v>
      </c>
      <c r="B14" s="82" t="s">
        <v>66</v>
      </c>
      <c r="C14" s="82" t="s">
        <v>67</v>
      </c>
      <c r="D14" s="82" t="s">
        <v>12</v>
      </c>
      <c r="E14" s="83">
        <v>14</v>
      </c>
      <c r="F14" s="82">
        <v>111</v>
      </c>
      <c r="G14" s="82">
        <v>0</v>
      </c>
      <c r="H14" s="82">
        <v>15</v>
      </c>
      <c r="I14" s="84" t="b">
        <v>0</v>
      </c>
    </row>
    <row r="15" spans="1:9">
      <c r="A15" s="77">
        <v>35</v>
      </c>
      <c r="B15" s="78" t="s">
        <v>68</v>
      </c>
      <c r="C15" s="78" t="s">
        <v>67</v>
      </c>
      <c r="D15" s="78" t="s">
        <v>12</v>
      </c>
      <c r="E15" s="79">
        <v>18</v>
      </c>
      <c r="F15" s="78">
        <v>20</v>
      </c>
      <c r="G15" s="78">
        <v>0</v>
      </c>
      <c r="H15" s="78">
        <v>15</v>
      </c>
      <c r="I15" s="80" t="b">
        <v>0</v>
      </c>
    </row>
    <row r="16" spans="1:9">
      <c r="A16" s="81">
        <v>38</v>
      </c>
      <c r="B16" s="82" t="s">
        <v>72</v>
      </c>
      <c r="C16" s="82" t="s">
        <v>73</v>
      </c>
      <c r="D16" s="82" t="s">
        <v>12</v>
      </c>
      <c r="E16" s="83">
        <v>263.5</v>
      </c>
      <c r="F16" s="82">
        <v>17</v>
      </c>
      <c r="G16" s="82">
        <v>0</v>
      </c>
      <c r="H16" s="82">
        <v>15</v>
      </c>
      <c r="I16" s="84" t="b">
        <v>0</v>
      </c>
    </row>
    <row r="17" spans="1:9">
      <c r="A17" s="77">
        <v>39</v>
      </c>
      <c r="B17" s="78" t="s">
        <v>74</v>
      </c>
      <c r="C17" s="78" t="s">
        <v>73</v>
      </c>
      <c r="D17" s="78" t="s">
        <v>12</v>
      </c>
      <c r="E17" s="79">
        <v>18</v>
      </c>
      <c r="F17" s="78">
        <v>69</v>
      </c>
      <c r="G17" s="78">
        <v>0</v>
      </c>
      <c r="H17" s="78">
        <v>5</v>
      </c>
      <c r="I17" s="80" t="b">
        <v>0</v>
      </c>
    </row>
    <row r="18" spans="1:9">
      <c r="A18" s="77">
        <v>43</v>
      </c>
      <c r="B18" s="78" t="s">
        <v>80</v>
      </c>
      <c r="C18" s="78" t="s">
        <v>79</v>
      </c>
      <c r="D18" s="78" t="s">
        <v>12</v>
      </c>
      <c r="E18" s="79">
        <v>46</v>
      </c>
      <c r="F18" s="78">
        <v>17</v>
      </c>
      <c r="G18" s="78">
        <v>10</v>
      </c>
      <c r="H18" s="78">
        <v>25</v>
      </c>
      <c r="I18" s="80" t="b">
        <v>0</v>
      </c>
    </row>
    <row r="19" spans="1:9">
      <c r="A19" s="77">
        <v>67</v>
      </c>
      <c r="B19" s="78" t="s">
        <v>113</v>
      </c>
      <c r="C19" s="78" t="s">
        <v>67</v>
      </c>
      <c r="D19" s="78" t="s">
        <v>12</v>
      </c>
      <c r="E19" s="79">
        <v>14</v>
      </c>
      <c r="F19" s="78">
        <v>52</v>
      </c>
      <c r="G19" s="78">
        <v>0</v>
      </c>
      <c r="H19" s="78">
        <v>10</v>
      </c>
      <c r="I19" s="80" t="b">
        <v>0</v>
      </c>
    </row>
    <row r="20" spans="1:9">
      <c r="A20" s="81">
        <v>70</v>
      </c>
      <c r="B20" s="82" t="s">
        <v>116</v>
      </c>
      <c r="C20" s="82" t="s">
        <v>38</v>
      </c>
      <c r="D20" s="82" t="s">
        <v>12</v>
      </c>
      <c r="E20" s="83">
        <v>15</v>
      </c>
      <c r="F20" s="82">
        <v>15</v>
      </c>
      <c r="G20" s="82">
        <v>10</v>
      </c>
      <c r="H20" s="82">
        <v>30</v>
      </c>
      <c r="I20" s="84" t="b">
        <v>0</v>
      </c>
    </row>
    <row r="21" spans="1:9">
      <c r="A21" s="77">
        <v>75</v>
      </c>
      <c r="B21" s="78" t="s">
        <v>121</v>
      </c>
      <c r="C21" s="78" t="s">
        <v>57</v>
      </c>
      <c r="D21" s="78" t="s">
        <v>12</v>
      </c>
      <c r="E21" s="79">
        <v>7.75</v>
      </c>
      <c r="F21" s="78">
        <v>125</v>
      </c>
      <c r="G21" s="78">
        <v>0</v>
      </c>
      <c r="H21" s="78">
        <v>25</v>
      </c>
      <c r="I21" s="80" t="b">
        <v>0</v>
      </c>
    </row>
    <row r="22" spans="1:9">
      <c r="A22" s="81">
        <v>76</v>
      </c>
      <c r="B22" s="82" t="s">
        <v>122</v>
      </c>
      <c r="C22" s="82" t="s">
        <v>89</v>
      </c>
      <c r="D22" s="82" t="s">
        <v>12</v>
      </c>
      <c r="E22" s="83">
        <v>18</v>
      </c>
      <c r="F22" s="82">
        <v>57</v>
      </c>
      <c r="G22" s="82">
        <v>0</v>
      </c>
      <c r="H22" s="82">
        <v>20</v>
      </c>
      <c r="I22" s="84" t="b">
        <v>0</v>
      </c>
    </row>
    <row r="23" spans="1:9">
      <c r="A23" s="77">
        <v>3</v>
      </c>
      <c r="B23" s="78" t="s">
        <v>14</v>
      </c>
      <c r="C23" s="78" t="s">
        <v>11</v>
      </c>
      <c r="D23" s="78" t="s">
        <v>15</v>
      </c>
      <c r="E23" s="79">
        <v>10</v>
      </c>
      <c r="F23" s="78">
        <v>13</v>
      </c>
      <c r="G23" s="78">
        <v>70</v>
      </c>
      <c r="H23" s="78">
        <v>25</v>
      </c>
      <c r="I23" s="80" t="b">
        <v>0</v>
      </c>
    </row>
    <row r="24" spans="1:9">
      <c r="A24" s="81">
        <v>4</v>
      </c>
      <c r="B24" s="82" t="s">
        <v>16</v>
      </c>
      <c r="C24" s="82" t="s">
        <v>17</v>
      </c>
      <c r="D24" s="82" t="s">
        <v>15</v>
      </c>
      <c r="E24" s="83">
        <v>22</v>
      </c>
      <c r="F24" s="82">
        <v>53</v>
      </c>
      <c r="G24" s="82">
        <v>0</v>
      </c>
      <c r="H24" s="82">
        <v>0</v>
      </c>
      <c r="I24" s="84" t="b">
        <v>0</v>
      </c>
    </row>
    <row r="25" spans="1:9">
      <c r="A25" s="77">
        <v>5</v>
      </c>
      <c r="B25" s="78" t="s">
        <v>18</v>
      </c>
      <c r="C25" s="78" t="s">
        <v>17</v>
      </c>
      <c r="D25" s="78" t="s">
        <v>15</v>
      </c>
      <c r="E25" s="79">
        <v>21.35</v>
      </c>
      <c r="F25" s="78">
        <v>0</v>
      </c>
      <c r="G25" s="78">
        <v>0</v>
      </c>
      <c r="H25" s="78">
        <v>0</v>
      </c>
      <c r="I25" s="80" t="b">
        <v>1</v>
      </c>
    </row>
    <row r="26" spans="1:9">
      <c r="A26" s="81">
        <v>6</v>
      </c>
      <c r="B26" s="82" t="s">
        <v>19</v>
      </c>
      <c r="C26" s="82" t="s">
        <v>20</v>
      </c>
      <c r="D26" s="82" t="s">
        <v>15</v>
      </c>
      <c r="E26" s="83">
        <v>25</v>
      </c>
      <c r="F26" s="82">
        <v>120</v>
      </c>
      <c r="G26" s="82">
        <v>0</v>
      </c>
      <c r="H26" s="82">
        <v>25</v>
      </c>
      <c r="I26" s="84" t="b">
        <v>0</v>
      </c>
    </row>
    <row r="27" spans="1:9">
      <c r="A27" s="85">
        <v>8</v>
      </c>
      <c r="B27" s="86" t="s">
        <v>23</v>
      </c>
      <c r="C27" s="86" t="s">
        <v>20</v>
      </c>
      <c r="D27" s="86" t="s">
        <v>15</v>
      </c>
      <c r="E27" s="87">
        <v>40</v>
      </c>
      <c r="F27" s="86">
        <v>6</v>
      </c>
      <c r="G27" s="86">
        <v>0</v>
      </c>
      <c r="H27" s="86">
        <v>0</v>
      </c>
      <c r="I27" s="88" t="b">
        <v>0</v>
      </c>
    </row>
    <row r="28" spans="1:9">
      <c r="A28" s="77">
        <v>15</v>
      </c>
      <c r="B28" s="78" t="s">
        <v>36</v>
      </c>
      <c r="C28" s="78" t="s">
        <v>34</v>
      </c>
      <c r="D28" s="78" t="s">
        <v>15</v>
      </c>
      <c r="E28" s="79">
        <v>15.5</v>
      </c>
      <c r="F28" s="78">
        <v>39</v>
      </c>
      <c r="G28" s="78">
        <v>0</v>
      </c>
      <c r="H28" s="78">
        <v>5</v>
      </c>
      <c r="I28" s="80" t="b">
        <v>0</v>
      </c>
    </row>
    <row r="29" spans="1:9">
      <c r="A29" s="85">
        <v>44</v>
      </c>
      <c r="B29" s="86" t="s">
        <v>81</v>
      </c>
      <c r="C29" s="86" t="s">
        <v>79</v>
      </c>
      <c r="D29" s="86" t="s">
        <v>15</v>
      </c>
      <c r="E29" s="87">
        <v>19.45</v>
      </c>
      <c r="F29" s="86">
        <v>27</v>
      </c>
      <c r="G29" s="86">
        <v>0</v>
      </c>
      <c r="H29" s="86">
        <v>15</v>
      </c>
      <c r="I29" s="88" t="b">
        <v>0</v>
      </c>
    </row>
    <row r="30" spans="1:9">
      <c r="A30" s="77">
        <v>61</v>
      </c>
      <c r="B30" s="78" t="s">
        <v>106</v>
      </c>
      <c r="C30" s="78" t="s">
        <v>107</v>
      </c>
      <c r="D30" s="78" t="s">
        <v>15</v>
      </c>
      <c r="E30" s="79">
        <v>28.5</v>
      </c>
      <c r="F30" s="78">
        <v>113</v>
      </c>
      <c r="G30" s="78">
        <v>0</v>
      </c>
      <c r="H30" s="78">
        <v>25</v>
      </c>
      <c r="I30" s="80" t="b">
        <v>0</v>
      </c>
    </row>
    <row r="31" spans="1:9">
      <c r="A31" s="77">
        <v>63</v>
      </c>
      <c r="B31" s="78" t="s">
        <v>109</v>
      </c>
      <c r="C31" s="78" t="s">
        <v>38</v>
      </c>
      <c r="D31" s="78" t="s">
        <v>15</v>
      </c>
      <c r="E31" s="79">
        <v>43.9</v>
      </c>
      <c r="F31" s="78">
        <v>24</v>
      </c>
      <c r="G31" s="78">
        <v>0</v>
      </c>
      <c r="H31" s="78">
        <v>5</v>
      </c>
      <c r="I31" s="80" t="b">
        <v>0</v>
      </c>
    </row>
    <row r="32" spans="1:9">
      <c r="A32" s="77">
        <v>65</v>
      </c>
      <c r="B32" s="78" t="s">
        <v>111</v>
      </c>
      <c r="C32" s="78" t="s">
        <v>17</v>
      </c>
      <c r="D32" s="78" t="s">
        <v>15</v>
      </c>
      <c r="E32" s="79">
        <v>21.05</v>
      </c>
      <c r="F32" s="78">
        <v>76</v>
      </c>
      <c r="G32" s="78">
        <v>0</v>
      </c>
      <c r="H32" s="78">
        <v>0</v>
      </c>
      <c r="I32" s="80" t="b">
        <v>0</v>
      </c>
    </row>
    <row r="33" spans="1:9">
      <c r="A33" s="85">
        <v>66</v>
      </c>
      <c r="B33" s="86" t="s">
        <v>112</v>
      </c>
      <c r="C33" s="86" t="s">
        <v>17</v>
      </c>
      <c r="D33" s="86" t="s">
        <v>15</v>
      </c>
      <c r="E33" s="87">
        <v>17</v>
      </c>
      <c r="F33" s="86">
        <v>4</v>
      </c>
      <c r="G33" s="86">
        <v>100</v>
      </c>
      <c r="H33" s="86">
        <v>20</v>
      </c>
      <c r="I33" s="88" t="b">
        <v>0</v>
      </c>
    </row>
    <row r="34" spans="1:9">
      <c r="A34" s="77">
        <v>77</v>
      </c>
      <c r="B34" s="78" t="s">
        <v>123</v>
      </c>
      <c r="C34" s="78" t="s">
        <v>57</v>
      </c>
      <c r="D34" s="78" t="s">
        <v>15</v>
      </c>
      <c r="E34" s="79">
        <v>13</v>
      </c>
      <c r="F34" s="78">
        <v>32</v>
      </c>
      <c r="G34" s="78">
        <v>0</v>
      </c>
      <c r="H34" s="78">
        <v>15</v>
      </c>
      <c r="I34" s="80" t="b">
        <v>0</v>
      </c>
    </row>
    <row r="35" spans="1:9">
      <c r="A35" s="85">
        <v>16</v>
      </c>
      <c r="B35" s="86" t="s">
        <v>37</v>
      </c>
      <c r="C35" s="86" t="s">
        <v>38</v>
      </c>
      <c r="D35" s="86" t="s">
        <v>39</v>
      </c>
      <c r="E35" s="87">
        <v>17.45</v>
      </c>
      <c r="F35" s="86">
        <v>29</v>
      </c>
      <c r="G35" s="86">
        <v>0</v>
      </c>
      <c r="H35" s="86">
        <v>10</v>
      </c>
      <c r="I35" s="88" t="b">
        <v>0</v>
      </c>
    </row>
    <row r="36" spans="1:9">
      <c r="A36" s="77">
        <v>19</v>
      </c>
      <c r="B36" s="78" t="s">
        <v>42</v>
      </c>
      <c r="C36" s="78" t="s">
        <v>43</v>
      </c>
      <c r="D36" s="78" t="s">
        <v>39</v>
      </c>
      <c r="E36" s="79">
        <v>9.2</v>
      </c>
      <c r="F36" s="78">
        <v>25</v>
      </c>
      <c r="G36" s="78">
        <v>0</v>
      </c>
      <c r="H36" s="78">
        <v>5</v>
      </c>
      <c r="I36" s="80" t="b">
        <v>0</v>
      </c>
    </row>
    <row r="37" spans="1:9">
      <c r="A37" s="85">
        <v>20</v>
      </c>
      <c r="B37" s="86" t="s">
        <v>44</v>
      </c>
      <c r="C37" s="86" t="s">
        <v>43</v>
      </c>
      <c r="D37" s="86" t="s">
        <v>39</v>
      </c>
      <c r="E37" s="87">
        <v>81</v>
      </c>
      <c r="F37" s="86">
        <v>40</v>
      </c>
      <c r="G37" s="86">
        <v>0</v>
      </c>
      <c r="H37" s="86">
        <v>0</v>
      </c>
      <c r="I37" s="88" t="b">
        <v>0</v>
      </c>
    </row>
    <row r="38" spans="1:9">
      <c r="A38" s="77">
        <v>21</v>
      </c>
      <c r="B38" s="78" t="s">
        <v>45</v>
      </c>
      <c r="C38" s="78" t="s">
        <v>43</v>
      </c>
      <c r="D38" s="78" t="s">
        <v>39</v>
      </c>
      <c r="E38" s="79">
        <v>10</v>
      </c>
      <c r="F38" s="78">
        <v>3</v>
      </c>
      <c r="G38" s="78">
        <v>40</v>
      </c>
      <c r="H38" s="78">
        <v>5</v>
      </c>
      <c r="I38" s="80" t="b">
        <v>0</v>
      </c>
    </row>
    <row r="39" spans="1:9">
      <c r="A39" s="77">
        <v>25</v>
      </c>
      <c r="B39" s="78" t="s">
        <v>52</v>
      </c>
      <c r="C39" s="78" t="s">
        <v>53</v>
      </c>
      <c r="D39" s="78" t="s">
        <v>39</v>
      </c>
      <c r="E39" s="79">
        <v>14</v>
      </c>
      <c r="F39" s="78">
        <v>76</v>
      </c>
      <c r="G39" s="78">
        <v>0</v>
      </c>
      <c r="H39" s="78">
        <v>30</v>
      </c>
      <c r="I39" s="80" t="b">
        <v>0</v>
      </c>
    </row>
    <row r="40" spans="1:9">
      <c r="A40" s="81">
        <v>26</v>
      </c>
      <c r="B40" s="82" t="s">
        <v>54</v>
      </c>
      <c r="C40" s="82" t="s">
        <v>53</v>
      </c>
      <c r="D40" s="82" t="s">
        <v>39</v>
      </c>
      <c r="E40" s="83">
        <v>31.23</v>
      </c>
      <c r="F40" s="82">
        <v>15</v>
      </c>
      <c r="G40" s="82">
        <v>0</v>
      </c>
      <c r="H40" s="82">
        <v>0</v>
      </c>
      <c r="I40" s="84" t="b">
        <v>0</v>
      </c>
    </row>
    <row r="41" spans="1:9">
      <c r="A41" s="77">
        <v>27</v>
      </c>
      <c r="B41" s="78" t="s">
        <v>55</v>
      </c>
      <c r="C41" s="78" t="s">
        <v>53</v>
      </c>
      <c r="D41" s="78" t="s">
        <v>39</v>
      </c>
      <c r="E41" s="79">
        <v>43.9</v>
      </c>
      <c r="F41" s="78">
        <v>49</v>
      </c>
      <c r="G41" s="78">
        <v>0</v>
      </c>
      <c r="H41" s="78">
        <v>30</v>
      </c>
      <c r="I41" s="80" t="b">
        <v>0</v>
      </c>
    </row>
    <row r="42" spans="1:9">
      <c r="A42" s="77">
        <v>47</v>
      </c>
      <c r="B42" s="78" t="s">
        <v>85</v>
      </c>
      <c r="C42" s="78" t="s">
        <v>86</v>
      </c>
      <c r="D42" s="78" t="s">
        <v>39</v>
      </c>
      <c r="E42" s="79">
        <v>9.5</v>
      </c>
      <c r="F42" s="78">
        <v>36</v>
      </c>
      <c r="G42" s="78">
        <v>0</v>
      </c>
      <c r="H42" s="78">
        <v>0</v>
      </c>
      <c r="I42" s="80" t="b">
        <v>0</v>
      </c>
    </row>
    <row r="43" spans="1:9">
      <c r="A43" s="85">
        <v>48</v>
      </c>
      <c r="B43" s="86" t="s">
        <v>87</v>
      </c>
      <c r="C43" s="86" t="s">
        <v>86</v>
      </c>
      <c r="D43" s="86" t="s">
        <v>39</v>
      </c>
      <c r="E43" s="87">
        <v>12.75</v>
      </c>
      <c r="F43" s="86">
        <v>15</v>
      </c>
      <c r="G43" s="86">
        <v>70</v>
      </c>
      <c r="H43" s="86">
        <v>25</v>
      </c>
      <c r="I43" s="88" t="b">
        <v>0</v>
      </c>
    </row>
    <row r="44" spans="1:9">
      <c r="A44" s="77">
        <v>49</v>
      </c>
      <c r="B44" s="78" t="s">
        <v>88</v>
      </c>
      <c r="C44" s="78" t="s">
        <v>89</v>
      </c>
      <c r="D44" s="78" t="s">
        <v>39</v>
      </c>
      <c r="E44" s="79">
        <v>20</v>
      </c>
      <c r="F44" s="78">
        <v>10</v>
      </c>
      <c r="G44" s="78">
        <v>60</v>
      </c>
      <c r="H44" s="78">
        <v>15</v>
      </c>
      <c r="I44" s="80" t="b">
        <v>0</v>
      </c>
    </row>
    <row r="45" spans="1:9">
      <c r="A45" s="85">
        <v>50</v>
      </c>
      <c r="B45" s="86" t="s">
        <v>90</v>
      </c>
      <c r="C45" s="86" t="s">
        <v>89</v>
      </c>
      <c r="D45" s="86" t="s">
        <v>39</v>
      </c>
      <c r="E45" s="87">
        <v>16.25</v>
      </c>
      <c r="F45" s="86">
        <v>65</v>
      </c>
      <c r="G45" s="86">
        <v>0</v>
      </c>
      <c r="H45" s="86">
        <v>30</v>
      </c>
      <c r="I45" s="88" t="b">
        <v>0</v>
      </c>
    </row>
    <row r="46" spans="1:9">
      <c r="A46" s="81">
        <v>62</v>
      </c>
      <c r="B46" s="82" t="s">
        <v>108</v>
      </c>
      <c r="C46" s="82" t="s">
        <v>107</v>
      </c>
      <c r="D46" s="82" t="s">
        <v>39</v>
      </c>
      <c r="E46" s="83">
        <v>49.3</v>
      </c>
      <c r="F46" s="82">
        <v>17</v>
      </c>
      <c r="G46" s="82">
        <v>0</v>
      </c>
      <c r="H46" s="82">
        <v>0</v>
      </c>
      <c r="I46" s="84" t="b">
        <v>0</v>
      </c>
    </row>
    <row r="47" spans="1:9">
      <c r="A47" s="85">
        <v>68</v>
      </c>
      <c r="B47" s="86" t="s">
        <v>114</v>
      </c>
      <c r="C47" s="86" t="s">
        <v>43</v>
      </c>
      <c r="D47" s="86" t="s">
        <v>39</v>
      </c>
      <c r="E47" s="87">
        <v>12.5</v>
      </c>
      <c r="F47" s="86">
        <v>6</v>
      </c>
      <c r="G47" s="86">
        <v>10</v>
      </c>
      <c r="H47" s="86">
        <v>15</v>
      </c>
      <c r="I47" s="88" t="b">
        <v>0</v>
      </c>
    </row>
    <row r="48" spans="1:9">
      <c r="A48" s="77">
        <v>11</v>
      </c>
      <c r="B48" s="78" t="s">
        <v>29</v>
      </c>
      <c r="C48" s="78" t="s">
        <v>30</v>
      </c>
      <c r="D48" s="78" t="s">
        <v>31</v>
      </c>
      <c r="E48" s="79">
        <v>21</v>
      </c>
      <c r="F48" s="78">
        <v>22</v>
      </c>
      <c r="G48" s="78">
        <v>30</v>
      </c>
      <c r="H48" s="78">
        <v>30</v>
      </c>
      <c r="I48" s="80" t="b">
        <v>0</v>
      </c>
    </row>
    <row r="49" spans="1:9">
      <c r="A49" s="85">
        <v>12</v>
      </c>
      <c r="B49" s="86" t="s">
        <v>32</v>
      </c>
      <c r="C49" s="86" t="s">
        <v>30</v>
      </c>
      <c r="D49" s="86" t="s">
        <v>31</v>
      </c>
      <c r="E49" s="87">
        <v>38</v>
      </c>
      <c r="F49" s="86">
        <v>86</v>
      </c>
      <c r="G49" s="86">
        <v>0</v>
      </c>
      <c r="H49" s="86">
        <v>0</v>
      </c>
      <c r="I49" s="88" t="b">
        <v>0</v>
      </c>
    </row>
    <row r="50" spans="1:9">
      <c r="A50" s="77">
        <v>31</v>
      </c>
      <c r="B50" s="78" t="s">
        <v>61</v>
      </c>
      <c r="C50" s="78" t="s">
        <v>62</v>
      </c>
      <c r="D50" s="78" t="s">
        <v>31</v>
      </c>
      <c r="E50" s="79">
        <v>12.5</v>
      </c>
      <c r="F50" s="78">
        <v>0</v>
      </c>
      <c r="G50" s="78">
        <v>70</v>
      </c>
      <c r="H50" s="78">
        <v>20</v>
      </c>
      <c r="I50" s="80" t="b">
        <v>0</v>
      </c>
    </row>
    <row r="51" spans="1:9">
      <c r="A51" s="85">
        <v>32</v>
      </c>
      <c r="B51" s="86" t="s">
        <v>63</v>
      </c>
      <c r="C51" s="86" t="s">
        <v>62</v>
      </c>
      <c r="D51" s="86" t="s">
        <v>31</v>
      </c>
      <c r="E51" s="87">
        <v>32</v>
      </c>
      <c r="F51" s="86">
        <v>9</v>
      </c>
      <c r="G51" s="86">
        <v>40</v>
      </c>
      <c r="H51" s="86">
        <v>25</v>
      </c>
      <c r="I51" s="88" t="b">
        <v>0</v>
      </c>
    </row>
    <row r="52" spans="1:9">
      <c r="A52" s="77">
        <v>33</v>
      </c>
      <c r="B52" s="78" t="s">
        <v>64</v>
      </c>
      <c r="C52" s="78" t="s">
        <v>65</v>
      </c>
      <c r="D52" s="78" t="s">
        <v>31</v>
      </c>
      <c r="E52" s="79">
        <v>2.5</v>
      </c>
      <c r="F52" s="78">
        <v>112</v>
      </c>
      <c r="G52" s="78">
        <v>0</v>
      </c>
      <c r="H52" s="78">
        <v>20</v>
      </c>
      <c r="I52" s="80" t="b">
        <v>0</v>
      </c>
    </row>
    <row r="53" spans="1:9">
      <c r="A53" s="77">
        <v>59</v>
      </c>
      <c r="B53" s="78" t="s">
        <v>103</v>
      </c>
      <c r="C53" s="78" t="s">
        <v>104</v>
      </c>
      <c r="D53" s="78" t="s">
        <v>31</v>
      </c>
      <c r="E53" s="79">
        <v>55</v>
      </c>
      <c r="F53" s="78">
        <v>79</v>
      </c>
      <c r="G53" s="78">
        <v>0</v>
      </c>
      <c r="H53" s="78">
        <v>0</v>
      </c>
      <c r="I53" s="80" t="b">
        <v>0</v>
      </c>
    </row>
    <row r="54" spans="1:9">
      <c r="A54" s="81">
        <v>60</v>
      </c>
      <c r="B54" s="82" t="s">
        <v>105</v>
      </c>
      <c r="C54" s="82" t="s">
        <v>104</v>
      </c>
      <c r="D54" s="82" t="s">
        <v>31</v>
      </c>
      <c r="E54" s="83">
        <v>34</v>
      </c>
      <c r="F54" s="82">
        <v>19</v>
      </c>
      <c r="G54" s="82">
        <v>0</v>
      </c>
      <c r="H54" s="82">
        <v>0</v>
      </c>
      <c r="I54" s="84" t="b">
        <v>0</v>
      </c>
    </row>
    <row r="55" spans="1:9">
      <c r="A55" s="77">
        <v>69</v>
      </c>
      <c r="B55" s="78" t="s">
        <v>115</v>
      </c>
      <c r="C55" s="78" t="s">
        <v>65</v>
      </c>
      <c r="D55" s="78" t="s">
        <v>31</v>
      </c>
      <c r="E55" s="79">
        <v>36</v>
      </c>
      <c r="F55" s="78">
        <v>26</v>
      </c>
      <c r="G55" s="78">
        <v>0</v>
      </c>
      <c r="H55" s="78">
        <v>15</v>
      </c>
      <c r="I55" s="80" t="b">
        <v>0</v>
      </c>
    </row>
    <row r="56" spans="1:9">
      <c r="A56" s="77">
        <v>71</v>
      </c>
      <c r="B56" s="78" t="s">
        <v>117</v>
      </c>
      <c r="C56" s="78" t="s">
        <v>65</v>
      </c>
      <c r="D56" s="78" t="s">
        <v>31</v>
      </c>
      <c r="E56" s="79">
        <v>21.5</v>
      </c>
      <c r="F56" s="78">
        <v>26</v>
      </c>
      <c r="G56" s="78">
        <v>0</v>
      </c>
      <c r="H56" s="78">
        <v>0</v>
      </c>
      <c r="I56" s="80" t="b">
        <v>0</v>
      </c>
    </row>
    <row r="57" spans="1:9">
      <c r="A57" s="85">
        <v>72</v>
      </c>
      <c r="B57" s="86" t="s">
        <v>118</v>
      </c>
      <c r="C57" s="86" t="s">
        <v>62</v>
      </c>
      <c r="D57" s="86" t="s">
        <v>31</v>
      </c>
      <c r="E57" s="87">
        <v>34.8</v>
      </c>
      <c r="F57" s="86">
        <v>14</v>
      </c>
      <c r="G57" s="86">
        <v>0</v>
      </c>
      <c r="H57" s="86">
        <v>0</v>
      </c>
      <c r="I57" s="88" t="b">
        <v>0</v>
      </c>
    </row>
    <row r="58" spans="1:9">
      <c r="A58" s="81">
        <v>22</v>
      </c>
      <c r="B58" s="82" t="s">
        <v>46</v>
      </c>
      <c r="C58" s="82" t="s">
        <v>47</v>
      </c>
      <c r="D58" s="82" t="s">
        <v>48</v>
      </c>
      <c r="E58" s="83">
        <v>21</v>
      </c>
      <c r="F58" s="82">
        <v>104</v>
      </c>
      <c r="G58" s="82">
        <v>0</v>
      </c>
      <c r="H58" s="82">
        <v>25</v>
      </c>
      <c r="I58" s="84" t="b">
        <v>0</v>
      </c>
    </row>
    <row r="59" spans="1:9">
      <c r="A59" s="77">
        <v>23</v>
      </c>
      <c r="B59" s="78" t="s">
        <v>49</v>
      </c>
      <c r="C59" s="78" t="s">
        <v>47</v>
      </c>
      <c r="D59" s="78" t="s">
        <v>48</v>
      </c>
      <c r="E59" s="79">
        <v>9</v>
      </c>
      <c r="F59" s="78">
        <v>61</v>
      </c>
      <c r="G59" s="78">
        <v>0</v>
      </c>
      <c r="H59" s="78">
        <v>25</v>
      </c>
      <c r="I59" s="80" t="b">
        <v>0</v>
      </c>
    </row>
    <row r="60" spans="1:9">
      <c r="A60" s="81">
        <v>42</v>
      </c>
      <c r="B60" s="82" t="s">
        <v>78</v>
      </c>
      <c r="C60" s="82" t="s">
        <v>79</v>
      </c>
      <c r="D60" s="82" t="s">
        <v>48</v>
      </c>
      <c r="E60" s="83">
        <v>14</v>
      </c>
      <c r="F60" s="82">
        <v>26</v>
      </c>
      <c r="G60" s="82">
        <v>0</v>
      </c>
      <c r="H60" s="82">
        <v>0</v>
      </c>
      <c r="I60" s="84" t="b">
        <v>1</v>
      </c>
    </row>
    <row r="61" spans="1:9">
      <c r="A61" s="85">
        <v>52</v>
      </c>
      <c r="B61" s="86" t="s">
        <v>93</v>
      </c>
      <c r="C61" s="86" t="s">
        <v>92</v>
      </c>
      <c r="D61" s="86" t="s">
        <v>48</v>
      </c>
      <c r="E61" s="87">
        <v>7</v>
      </c>
      <c r="F61" s="86">
        <v>38</v>
      </c>
      <c r="G61" s="86">
        <v>0</v>
      </c>
      <c r="H61" s="86">
        <v>25</v>
      </c>
      <c r="I61" s="88" t="b">
        <v>0</v>
      </c>
    </row>
    <row r="62" spans="1:9">
      <c r="A62" s="81">
        <v>56</v>
      </c>
      <c r="B62" s="82" t="s">
        <v>98</v>
      </c>
      <c r="C62" s="82" t="s">
        <v>99</v>
      </c>
      <c r="D62" s="82" t="s">
        <v>48</v>
      </c>
      <c r="E62" s="83">
        <v>38</v>
      </c>
      <c r="F62" s="82">
        <v>21</v>
      </c>
      <c r="G62" s="82">
        <v>10</v>
      </c>
      <c r="H62" s="82">
        <v>30</v>
      </c>
      <c r="I62" s="84" t="b">
        <v>0</v>
      </c>
    </row>
    <row r="63" spans="1:9">
      <c r="A63" s="77">
        <v>57</v>
      </c>
      <c r="B63" s="78" t="s">
        <v>100</v>
      </c>
      <c r="C63" s="78" t="s">
        <v>99</v>
      </c>
      <c r="D63" s="78" t="s">
        <v>48</v>
      </c>
      <c r="E63" s="79">
        <v>19.5</v>
      </c>
      <c r="F63" s="78">
        <v>36</v>
      </c>
      <c r="G63" s="78">
        <v>0</v>
      </c>
      <c r="H63" s="78">
        <v>20</v>
      </c>
      <c r="I63" s="80" t="b">
        <v>0</v>
      </c>
    </row>
    <row r="64" spans="1:9">
      <c r="A64" s="81">
        <v>64</v>
      </c>
      <c r="B64" s="82" t="s">
        <v>110</v>
      </c>
      <c r="C64" s="82" t="s">
        <v>57</v>
      </c>
      <c r="D64" s="82" t="s">
        <v>48</v>
      </c>
      <c r="E64" s="83">
        <v>33.25</v>
      </c>
      <c r="F64" s="82">
        <v>22</v>
      </c>
      <c r="G64" s="82">
        <v>80</v>
      </c>
      <c r="H64" s="82">
        <v>30</v>
      </c>
      <c r="I64" s="84" t="b">
        <v>0</v>
      </c>
    </row>
    <row r="65" spans="1:9">
      <c r="A65" s="77">
        <v>9</v>
      </c>
      <c r="B65" s="78" t="s">
        <v>24</v>
      </c>
      <c r="C65" s="78" t="s">
        <v>25</v>
      </c>
      <c r="D65" s="78" t="s">
        <v>26</v>
      </c>
      <c r="E65" s="79">
        <v>97</v>
      </c>
      <c r="F65" s="78">
        <v>29</v>
      </c>
      <c r="G65" s="78">
        <v>0</v>
      </c>
      <c r="H65" s="78">
        <v>0</v>
      </c>
      <c r="I65" s="80" t="b">
        <v>1</v>
      </c>
    </row>
    <row r="66" spans="1:9">
      <c r="A66" s="77">
        <v>17</v>
      </c>
      <c r="B66" s="78" t="s">
        <v>40</v>
      </c>
      <c r="C66" s="78" t="s">
        <v>38</v>
      </c>
      <c r="D66" s="78" t="s">
        <v>26</v>
      </c>
      <c r="E66" s="79">
        <v>39</v>
      </c>
      <c r="F66" s="78">
        <v>0</v>
      </c>
      <c r="G66" s="78">
        <v>0</v>
      </c>
      <c r="H66" s="78">
        <v>0</v>
      </c>
      <c r="I66" s="80" t="b">
        <v>1</v>
      </c>
    </row>
    <row r="67" spans="1:9">
      <c r="A67" s="77">
        <v>29</v>
      </c>
      <c r="B67" s="78" t="s">
        <v>58</v>
      </c>
      <c r="C67" s="78" t="s">
        <v>57</v>
      </c>
      <c r="D67" s="78" t="s">
        <v>26</v>
      </c>
      <c r="E67" s="79">
        <v>123.79</v>
      </c>
      <c r="F67" s="78">
        <v>0</v>
      </c>
      <c r="G67" s="78">
        <v>0</v>
      </c>
      <c r="H67" s="78">
        <v>0</v>
      </c>
      <c r="I67" s="80" t="b">
        <v>1</v>
      </c>
    </row>
    <row r="68" spans="1:9">
      <c r="A68" s="77">
        <v>53</v>
      </c>
      <c r="B68" s="78" t="s">
        <v>94</v>
      </c>
      <c r="C68" s="78" t="s">
        <v>92</v>
      </c>
      <c r="D68" s="78" t="s">
        <v>26</v>
      </c>
      <c r="E68" s="79">
        <v>32.8</v>
      </c>
      <c r="F68" s="78">
        <v>0</v>
      </c>
      <c r="G68" s="78">
        <v>0</v>
      </c>
      <c r="H68" s="78">
        <v>0</v>
      </c>
      <c r="I68" s="80" t="b">
        <v>1</v>
      </c>
    </row>
    <row r="69" spans="1:9">
      <c r="A69" s="85">
        <v>54</v>
      </c>
      <c r="B69" s="86" t="s">
        <v>95</v>
      </c>
      <c r="C69" s="86" t="s">
        <v>96</v>
      </c>
      <c r="D69" s="86" t="s">
        <v>26</v>
      </c>
      <c r="E69" s="87">
        <v>7.45</v>
      </c>
      <c r="F69" s="86">
        <v>21</v>
      </c>
      <c r="G69" s="86">
        <v>0</v>
      </c>
      <c r="H69" s="86">
        <v>10</v>
      </c>
      <c r="I69" s="88" t="b">
        <v>0</v>
      </c>
    </row>
    <row r="70" spans="1:9">
      <c r="A70" s="77">
        <v>55</v>
      </c>
      <c r="B70" s="78" t="s">
        <v>97</v>
      </c>
      <c r="C70" s="78" t="s">
        <v>96</v>
      </c>
      <c r="D70" s="78" t="s">
        <v>26</v>
      </c>
      <c r="E70" s="79">
        <v>24</v>
      </c>
      <c r="F70" s="78">
        <v>115</v>
      </c>
      <c r="G70" s="78">
        <v>0</v>
      </c>
      <c r="H70" s="78">
        <v>20</v>
      </c>
      <c r="I70" s="80" t="b">
        <v>0</v>
      </c>
    </row>
    <row r="71" spans="1:9">
      <c r="A71" s="77">
        <v>7</v>
      </c>
      <c r="B71" s="78" t="s">
        <v>21</v>
      </c>
      <c r="C71" s="78" t="s">
        <v>20</v>
      </c>
      <c r="D71" s="78" t="s">
        <v>22</v>
      </c>
      <c r="E71" s="79">
        <v>30</v>
      </c>
      <c r="F71" s="78">
        <v>15</v>
      </c>
      <c r="G71" s="78">
        <v>0</v>
      </c>
      <c r="H71" s="78">
        <v>10</v>
      </c>
      <c r="I71" s="80" t="b">
        <v>0</v>
      </c>
    </row>
    <row r="72" spans="1:9">
      <c r="A72" s="81">
        <v>14</v>
      </c>
      <c r="B72" s="82" t="s">
        <v>35</v>
      </c>
      <c r="C72" s="82" t="s">
        <v>34</v>
      </c>
      <c r="D72" s="82" t="s">
        <v>22</v>
      </c>
      <c r="E72" s="83">
        <v>23.25</v>
      </c>
      <c r="F72" s="82">
        <v>35</v>
      </c>
      <c r="G72" s="82">
        <v>0</v>
      </c>
      <c r="H72" s="82">
        <v>0</v>
      </c>
      <c r="I72" s="84" t="b">
        <v>0</v>
      </c>
    </row>
    <row r="73" spans="1:9">
      <c r="A73" s="85">
        <v>28</v>
      </c>
      <c r="B73" s="86" t="s">
        <v>56</v>
      </c>
      <c r="C73" s="86" t="s">
        <v>57</v>
      </c>
      <c r="D73" s="86" t="s">
        <v>22</v>
      </c>
      <c r="E73" s="87">
        <v>45.6</v>
      </c>
      <c r="F73" s="86">
        <v>26</v>
      </c>
      <c r="G73" s="86">
        <v>0</v>
      </c>
      <c r="H73" s="86">
        <v>0</v>
      </c>
      <c r="I73" s="88" t="b">
        <v>1</v>
      </c>
    </row>
    <row r="74" spans="1:9">
      <c r="A74" s="77">
        <v>51</v>
      </c>
      <c r="B74" s="78" t="s">
        <v>91</v>
      </c>
      <c r="C74" s="78" t="s">
        <v>92</v>
      </c>
      <c r="D74" s="78" t="s">
        <v>22</v>
      </c>
      <c r="E74" s="79">
        <v>53</v>
      </c>
      <c r="F74" s="78">
        <v>20</v>
      </c>
      <c r="G74" s="78">
        <v>0</v>
      </c>
      <c r="H74" s="78">
        <v>10</v>
      </c>
      <c r="I74" s="80" t="b">
        <v>0</v>
      </c>
    </row>
    <row r="75" spans="1:9">
      <c r="A75" s="85">
        <v>74</v>
      </c>
      <c r="B75" s="86" t="s">
        <v>120</v>
      </c>
      <c r="C75" s="86" t="s">
        <v>25</v>
      </c>
      <c r="D75" s="86" t="s">
        <v>22</v>
      </c>
      <c r="E75" s="87">
        <v>10</v>
      </c>
      <c r="F75" s="86">
        <v>4</v>
      </c>
      <c r="G75" s="86">
        <v>20</v>
      </c>
      <c r="H75" s="86">
        <v>5</v>
      </c>
      <c r="I75" s="88" t="b">
        <v>0</v>
      </c>
    </row>
    <row r="76" spans="1:9">
      <c r="A76" s="81">
        <v>10</v>
      </c>
      <c r="B76" s="82" t="s">
        <v>27</v>
      </c>
      <c r="C76" s="82" t="s">
        <v>25</v>
      </c>
      <c r="D76" s="82" t="s">
        <v>28</v>
      </c>
      <c r="E76" s="83">
        <v>31</v>
      </c>
      <c r="F76" s="82">
        <v>31</v>
      </c>
      <c r="G76" s="82">
        <v>0</v>
      </c>
      <c r="H76" s="82">
        <v>0</v>
      </c>
      <c r="I76" s="84" t="b">
        <v>0</v>
      </c>
    </row>
    <row r="77" spans="1:9">
      <c r="A77" s="77">
        <v>13</v>
      </c>
      <c r="B77" s="78" t="s">
        <v>33</v>
      </c>
      <c r="C77" s="78" t="s">
        <v>34</v>
      </c>
      <c r="D77" s="78" t="s">
        <v>28</v>
      </c>
      <c r="E77" s="79">
        <v>6</v>
      </c>
      <c r="F77" s="78">
        <v>24</v>
      </c>
      <c r="G77" s="78">
        <v>0</v>
      </c>
      <c r="H77" s="78">
        <v>5</v>
      </c>
      <c r="I77" s="80" t="b">
        <v>0</v>
      </c>
    </row>
    <row r="78" spans="1:9">
      <c r="A78" s="81">
        <v>18</v>
      </c>
      <c r="B78" s="82" t="s">
        <v>41</v>
      </c>
      <c r="C78" s="82" t="s">
        <v>38</v>
      </c>
      <c r="D78" s="82" t="s">
        <v>28</v>
      </c>
      <c r="E78" s="83">
        <v>62.5</v>
      </c>
      <c r="F78" s="82">
        <v>42</v>
      </c>
      <c r="G78" s="82">
        <v>0</v>
      </c>
      <c r="H78" s="82">
        <v>0</v>
      </c>
      <c r="I78" s="84" t="b">
        <v>0</v>
      </c>
    </row>
    <row r="79" spans="1:9">
      <c r="A79" s="85">
        <v>30</v>
      </c>
      <c r="B79" s="86" t="s">
        <v>59</v>
      </c>
      <c r="C79" s="86" t="s">
        <v>60</v>
      </c>
      <c r="D79" s="86" t="s">
        <v>28</v>
      </c>
      <c r="E79" s="87">
        <v>25.89</v>
      </c>
      <c r="F79" s="86">
        <v>10</v>
      </c>
      <c r="G79" s="86">
        <v>0</v>
      </c>
      <c r="H79" s="86">
        <v>15</v>
      </c>
      <c r="I79" s="88" t="b">
        <v>0</v>
      </c>
    </row>
    <row r="80" spans="1:9">
      <c r="A80" s="81">
        <v>36</v>
      </c>
      <c r="B80" s="82" t="s">
        <v>69</v>
      </c>
      <c r="C80" s="82" t="s">
        <v>70</v>
      </c>
      <c r="D80" s="82" t="s">
        <v>28</v>
      </c>
      <c r="E80" s="83">
        <v>19</v>
      </c>
      <c r="F80" s="82">
        <v>112</v>
      </c>
      <c r="G80" s="82">
        <v>0</v>
      </c>
      <c r="H80" s="82">
        <v>20</v>
      </c>
      <c r="I80" s="84" t="b">
        <v>0</v>
      </c>
    </row>
    <row r="81" spans="1:9">
      <c r="A81" s="77">
        <v>37</v>
      </c>
      <c r="B81" s="78" t="s">
        <v>71</v>
      </c>
      <c r="C81" s="78" t="s">
        <v>70</v>
      </c>
      <c r="D81" s="78" t="s">
        <v>28</v>
      </c>
      <c r="E81" s="79">
        <v>26</v>
      </c>
      <c r="F81" s="78">
        <v>11</v>
      </c>
      <c r="G81" s="78">
        <v>50</v>
      </c>
      <c r="H81" s="78">
        <v>25</v>
      </c>
      <c r="I81" s="80" t="b">
        <v>0</v>
      </c>
    </row>
    <row r="82" spans="1:9">
      <c r="A82" s="81">
        <v>40</v>
      </c>
      <c r="B82" s="82" t="s">
        <v>75</v>
      </c>
      <c r="C82" s="82" t="s">
        <v>76</v>
      </c>
      <c r="D82" s="82" t="s">
        <v>28</v>
      </c>
      <c r="E82" s="83">
        <v>18.4</v>
      </c>
      <c r="F82" s="82">
        <v>123</v>
      </c>
      <c r="G82" s="82">
        <v>0</v>
      </c>
      <c r="H82" s="82">
        <v>30</v>
      </c>
      <c r="I82" s="84" t="b">
        <v>0</v>
      </c>
    </row>
    <row r="83" spans="1:9">
      <c r="A83" s="77">
        <v>41</v>
      </c>
      <c r="B83" s="78" t="s">
        <v>77</v>
      </c>
      <c r="C83" s="78" t="s">
        <v>76</v>
      </c>
      <c r="D83" s="78" t="s">
        <v>28</v>
      </c>
      <c r="E83" s="79">
        <v>9.65</v>
      </c>
      <c r="F83" s="78">
        <v>85</v>
      </c>
      <c r="G83" s="78">
        <v>0</v>
      </c>
      <c r="H83" s="78">
        <v>10</v>
      </c>
      <c r="I83" s="80" t="b">
        <v>0</v>
      </c>
    </row>
    <row r="84" spans="1:9">
      <c r="A84" s="77">
        <v>45</v>
      </c>
      <c r="B84" s="78" t="s">
        <v>82</v>
      </c>
      <c r="C84" s="78" t="s">
        <v>83</v>
      </c>
      <c r="D84" s="78" t="s">
        <v>28</v>
      </c>
      <c r="E84" s="79">
        <v>9.5</v>
      </c>
      <c r="F84" s="78">
        <v>5</v>
      </c>
      <c r="G84" s="78">
        <v>70</v>
      </c>
      <c r="H84" s="78">
        <v>15</v>
      </c>
      <c r="I84" s="80" t="b">
        <v>0</v>
      </c>
    </row>
    <row r="85" spans="1:9">
      <c r="A85" s="85">
        <v>46</v>
      </c>
      <c r="B85" s="86" t="s">
        <v>84</v>
      </c>
      <c r="C85" s="86" t="s">
        <v>83</v>
      </c>
      <c r="D85" s="86" t="s">
        <v>28</v>
      </c>
      <c r="E85" s="87">
        <v>12</v>
      </c>
      <c r="F85" s="86">
        <v>95</v>
      </c>
      <c r="G85" s="86">
        <v>0</v>
      </c>
      <c r="H85" s="86">
        <v>0</v>
      </c>
      <c r="I85" s="88" t="b">
        <v>0</v>
      </c>
    </row>
    <row r="86" spans="1:9">
      <c r="A86" s="81">
        <v>58</v>
      </c>
      <c r="B86" s="82" t="s">
        <v>101</v>
      </c>
      <c r="C86" s="82" t="s">
        <v>102</v>
      </c>
      <c r="D86" s="82" t="s">
        <v>28</v>
      </c>
      <c r="E86" s="83">
        <v>13.25</v>
      </c>
      <c r="F86" s="82">
        <v>62</v>
      </c>
      <c r="G86" s="82">
        <v>0</v>
      </c>
      <c r="H86" s="82">
        <v>20</v>
      </c>
      <c r="I86" s="84" t="b">
        <v>0</v>
      </c>
    </row>
    <row r="87" spans="1:9">
      <c r="A87" s="89">
        <v>73</v>
      </c>
      <c r="B87" s="90" t="s">
        <v>119</v>
      </c>
      <c r="C87" s="90" t="s">
        <v>70</v>
      </c>
      <c r="D87" s="90" t="s">
        <v>28</v>
      </c>
      <c r="E87" s="91">
        <v>15</v>
      </c>
      <c r="F87" s="90">
        <v>101</v>
      </c>
      <c r="G87" s="90">
        <v>0</v>
      </c>
      <c r="H87" s="90">
        <v>5</v>
      </c>
      <c r="I87" s="92" t="b">
        <v>0</v>
      </c>
    </row>
    <row r="88" spans="1:9">
      <c r="F88">
        <f>SUM(F11:F87)</f>
        <v>3119</v>
      </c>
    </row>
  </sheetData>
  <mergeCells count="1">
    <mergeCell ref="B1:G1"/>
  </mergeCells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topLeftCell="A10" workbookViewId="0">
      <selection activeCell="D21" sqref="D21"/>
    </sheetView>
  </sheetViews>
  <sheetFormatPr defaultColWidth="9" defaultRowHeight="14.4"/>
  <cols>
    <col min="1" max="1" width="13.4444444444444" customWidth="1"/>
    <col min="2" max="2" width="16.3333333333333" customWidth="1"/>
    <col min="3" max="3" width="11.6666666666667" customWidth="1"/>
    <col min="4" max="4" width="30" customWidth="1"/>
    <col min="5" max="5" width="16.6666666666667" customWidth="1"/>
    <col min="6" max="7" width="11.8888888888889" style="67" customWidth="1"/>
    <col min="8" max="8" width="37.6666666666667" customWidth="1"/>
    <col min="9" max="9" width="9.55555555555556" customWidth="1"/>
    <col min="10" max="10" width="8.66666666666667" customWidth="1"/>
    <col min="11" max="11" width="12.6666666666667" style="68" customWidth="1"/>
    <col min="12" max="12" width="9.66666666666667" customWidth="1"/>
    <col min="13" max="13" width="13.6666666666667" customWidth="1"/>
  </cols>
  <sheetData>
    <row r="1" ht="23.4" spans="1:13">
      <c r="B1" s="16" t="s">
        <v>253</v>
      </c>
      <c r="C1" s="16"/>
      <c r="D1" s="16"/>
      <c r="E1" s="16"/>
      <c r="F1" s="16"/>
      <c r="G1" s="16"/>
    </row>
    <row r="2" spans="1:13">
      <c r="F2"/>
      <c r="G2"/>
      <c r="K2"/>
    </row>
    <row r="3" spans="1:13">
      <c r="F3"/>
      <c r="G3"/>
      <c r="K3"/>
    </row>
    <row r="4" spans="1:13">
      <c r="F4"/>
      <c r="G4"/>
      <c r="K4"/>
    </row>
    <row r="10" spans="1:13">
      <c r="A10" t="s">
        <v>254</v>
      </c>
      <c r="B10" t="s">
        <v>255</v>
      </c>
      <c r="C10" t="s">
        <v>256</v>
      </c>
      <c r="D10" t="s">
        <v>257</v>
      </c>
      <c r="E10" t="s">
        <v>258</v>
      </c>
      <c r="F10" s="67" t="s">
        <v>259</v>
      </c>
      <c r="G10" s="67" t="s">
        <v>260</v>
      </c>
      <c r="H10" t="s">
        <v>261</v>
      </c>
      <c r="I10" t="s">
        <v>262</v>
      </c>
      <c r="J10" t="s">
        <v>263</v>
      </c>
      <c r="K10" s="68" t="s">
        <v>264</v>
      </c>
      <c r="L10" t="s">
        <v>265</v>
      </c>
      <c r="M10" t="s">
        <v>266</v>
      </c>
    </row>
    <row r="11" spans="1:13">
      <c r="A11" s="69">
        <v>1</v>
      </c>
      <c r="B11" s="69" t="s">
        <v>267</v>
      </c>
      <c r="C11" s="69" t="s">
        <v>268</v>
      </c>
      <c r="D11" s="69" t="s">
        <v>269</v>
      </c>
      <c r="E11" s="69" t="s">
        <v>270</v>
      </c>
      <c r="F11" s="70">
        <v>25180</v>
      </c>
      <c r="G11" s="70">
        <v>33725</v>
      </c>
      <c r="H11" s="69" t="s">
        <v>271</v>
      </c>
      <c r="I11" s="69" t="s">
        <v>272</v>
      </c>
      <c r="J11" t="s">
        <v>273</v>
      </c>
      <c r="K11" s="68">
        <v>98122</v>
      </c>
      <c r="L11" t="s">
        <v>145</v>
      </c>
      <c r="M11" t="s">
        <v>274</v>
      </c>
    </row>
    <row r="12" spans="1:13">
      <c r="A12" s="69">
        <v>11</v>
      </c>
      <c r="B12" s="71" t="s">
        <v>275</v>
      </c>
      <c r="C12" s="71" t="s">
        <v>276</v>
      </c>
      <c r="D12" s="71" t="s">
        <v>277</v>
      </c>
      <c r="E12" s="71" t="s">
        <v>278</v>
      </c>
      <c r="F12" s="70">
        <v>19043</v>
      </c>
      <c r="G12" s="70">
        <v>33830</v>
      </c>
      <c r="H12" s="71" t="s">
        <v>279</v>
      </c>
      <c r="I12" s="71" t="s">
        <v>280</v>
      </c>
      <c r="J12" s="71" t="s">
        <v>273</v>
      </c>
      <c r="K12" s="72">
        <v>99999</v>
      </c>
      <c r="L12" s="71" t="s">
        <v>145</v>
      </c>
      <c r="M12" t="s">
        <v>281</v>
      </c>
    </row>
    <row r="13" spans="1:13">
      <c r="A13" s="69">
        <v>2</v>
      </c>
      <c r="B13" s="69" t="s">
        <v>282</v>
      </c>
      <c r="C13" s="69" t="s">
        <v>276</v>
      </c>
      <c r="D13" s="69" t="s">
        <v>277</v>
      </c>
      <c r="E13" s="69" t="s">
        <v>283</v>
      </c>
      <c r="F13" s="70">
        <v>19043</v>
      </c>
      <c r="G13" s="70">
        <v>33830</v>
      </c>
      <c r="H13" s="69" t="s">
        <v>284</v>
      </c>
      <c r="I13" s="69" t="s">
        <v>285</v>
      </c>
      <c r="J13" t="s">
        <v>273</v>
      </c>
      <c r="K13" s="68">
        <v>98401</v>
      </c>
      <c r="L13" t="s">
        <v>145</v>
      </c>
      <c r="M13" t="s">
        <v>286</v>
      </c>
    </row>
    <row r="14" spans="1:13">
      <c r="A14" s="69">
        <v>3</v>
      </c>
      <c r="B14" s="69" t="s">
        <v>287</v>
      </c>
      <c r="C14" s="69" t="s">
        <v>288</v>
      </c>
      <c r="D14" s="69" t="s">
        <v>269</v>
      </c>
      <c r="E14" s="69" t="s">
        <v>270</v>
      </c>
      <c r="F14" s="70">
        <v>23253</v>
      </c>
      <c r="G14" s="70">
        <v>33695</v>
      </c>
      <c r="H14" s="69" t="s">
        <v>289</v>
      </c>
      <c r="I14" s="69" t="s">
        <v>290</v>
      </c>
      <c r="J14" t="s">
        <v>273</v>
      </c>
      <c r="K14" s="68">
        <v>98033</v>
      </c>
      <c r="L14" t="s">
        <v>145</v>
      </c>
      <c r="M14" t="s">
        <v>291</v>
      </c>
    </row>
    <row r="15" spans="1:13">
      <c r="A15" s="69">
        <v>4</v>
      </c>
      <c r="B15" s="69" t="s">
        <v>292</v>
      </c>
      <c r="C15" s="69" t="s">
        <v>293</v>
      </c>
      <c r="D15" s="69" t="s">
        <v>269</v>
      </c>
      <c r="E15" s="69" t="s">
        <v>294</v>
      </c>
      <c r="F15" s="70">
        <v>21447</v>
      </c>
      <c r="G15" s="70">
        <v>34092</v>
      </c>
      <c r="H15" s="69" t="s">
        <v>295</v>
      </c>
      <c r="I15" s="69" t="s">
        <v>296</v>
      </c>
      <c r="J15" t="s">
        <v>273</v>
      </c>
      <c r="K15" s="68">
        <v>98052</v>
      </c>
      <c r="L15" t="s">
        <v>145</v>
      </c>
      <c r="M15" t="s">
        <v>297</v>
      </c>
    </row>
    <row r="16" spans="1:13">
      <c r="A16" s="69">
        <v>15</v>
      </c>
      <c r="B16" s="71" t="s">
        <v>298</v>
      </c>
      <c r="C16" s="71" t="s">
        <v>299</v>
      </c>
      <c r="D16" s="71" t="s">
        <v>269</v>
      </c>
      <c r="E16" s="71" t="s">
        <v>278</v>
      </c>
      <c r="F16" s="70">
        <v>23194</v>
      </c>
      <c r="G16" s="70">
        <v>34259</v>
      </c>
      <c r="H16" s="71" t="s">
        <v>300</v>
      </c>
      <c r="I16" s="71" t="s">
        <v>296</v>
      </c>
      <c r="J16" s="71" t="s">
        <v>273</v>
      </c>
      <c r="K16" s="72">
        <v>99999</v>
      </c>
      <c r="L16" s="71" t="s">
        <v>145</v>
      </c>
      <c r="M16" t="s">
        <v>281</v>
      </c>
    </row>
    <row r="17" spans="1:13">
      <c r="A17" s="69">
        <v>5</v>
      </c>
      <c r="B17" s="69" t="s">
        <v>301</v>
      </c>
      <c r="C17" s="69" t="s">
        <v>302</v>
      </c>
      <c r="D17" s="69" t="s">
        <v>303</v>
      </c>
      <c r="E17" s="69" t="s">
        <v>278</v>
      </c>
      <c r="F17" s="70">
        <v>20152</v>
      </c>
      <c r="G17" s="70">
        <v>34259</v>
      </c>
      <c r="H17" s="69" t="s">
        <v>304</v>
      </c>
      <c r="I17" s="69" t="s">
        <v>305</v>
      </c>
      <c r="J17" t="s">
        <v>306</v>
      </c>
      <c r="K17" s="68" t="s">
        <v>307</v>
      </c>
      <c r="L17" t="s">
        <v>169</v>
      </c>
      <c r="M17" t="s">
        <v>308</v>
      </c>
    </row>
    <row r="18" spans="1:13">
      <c r="A18" s="69">
        <v>6</v>
      </c>
      <c r="B18" s="69" t="s">
        <v>309</v>
      </c>
      <c r="C18" s="69" t="s">
        <v>299</v>
      </c>
      <c r="D18" s="69" t="s">
        <v>269</v>
      </c>
      <c r="E18" s="69" t="s">
        <v>278</v>
      </c>
      <c r="F18" s="70">
        <v>23194</v>
      </c>
      <c r="G18" s="70">
        <v>34259</v>
      </c>
      <c r="H18" s="69" t="s">
        <v>310</v>
      </c>
      <c r="I18" s="69" t="s">
        <v>305</v>
      </c>
      <c r="J18" t="s">
        <v>306</v>
      </c>
      <c r="K18" s="68" t="s">
        <v>311</v>
      </c>
      <c r="L18" t="s">
        <v>169</v>
      </c>
      <c r="M18" t="s">
        <v>312</v>
      </c>
    </row>
    <row r="19" spans="1:13">
      <c r="A19" s="69">
        <v>7</v>
      </c>
      <c r="B19" s="69" t="s">
        <v>313</v>
      </c>
      <c r="C19" s="69" t="s">
        <v>314</v>
      </c>
      <c r="D19" s="69" t="s">
        <v>269</v>
      </c>
      <c r="E19" s="69" t="s">
        <v>278</v>
      </c>
      <c r="F19" s="70">
        <v>22065</v>
      </c>
      <c r="G19" s="70">
        <v>34336</v>
      </c>
      <c r="H19" s="69" t="s">
        <v>315</v>
      </c>
      <c r="I19" s="69" t="s">
        <v>305</v>
      </c>
      <c r="J19" t="s">
        <v>306</v>
      </c>
      <c r="K19" s="68" t="s">
        <v>316</v>
      </c>
      <c r="L19" t="s">
        <v>169</v>
      </c>
      <c r="M19" t="s">
        <v>317</v>
      </c>
    </row>
    <row r="20" spans="1:13">
      <c r="A20" s="69">
        <v>8</v>
      </c>
      <c r="B20" s="69" t="s">
        <v>318</v>
      </c>
      <c r="C20" s="69" t="s">
        <v>319</v>
      </c>
      <c r="D20" s="69" t="s">
        <v>320</v>
      </c>
      <c r="E20" s="69" t="s">
        <v>270</v>
      </c>
      <c r="F20" s="70">
        <v>21194</v>
      </c>
      <c r="G20" s="70">
        <v>34398</v>
      </c>
      <c r="H20" s="69" t="s">
        <v>321</v>
      </c>
      <c r="I20" s="69" t="s">
        <v>272</v>
      </c>
      <c r="J20" t="s">
        <v>273</v>
      </c>
      <c r="K20" s="68">
        <v>98105</v>
      </c>
      <c r="L20" t="s">
        <v>145</v>
      </c>
      <c r="M20" t="s">
        <v>322</v>
      </c>
    </row>
    <row r="21" spans="1:13">
      <c r="A21" s="69">
        <v>9</v>
      </c>
      <c r="B21" s="69" t="s">
        <v>323</v>
      </c>
      <c r="C21" s="69" t="s">
        <v>324</v>
      </c>
      <c r="D21" s="69" t="s">
        <v>269</v>
      </c>
      <c r="E21" s="69" t="s">
        <v>270</v>
      </c>
      <c r="F21" s="70">
        <v>25386</v>
      </c>
      <c r="G21" s="70">
        <v>34653</v>
      </c>
      <c r="H21" s="69" t="s">
        <v>325</v>
      </c>
      <c r="I21" s="69" t="s">
        <v>305</v>
      </c>
      <c r="J21" t="s">
        <v>306</v>
      </c>
      <c r="K21" s="68" t="s">
        <v>326</v>
      </c>
      <c r="L21" t="s">
        <v>169</v>
      </c>
      <c r="M21" t="s">
        <v>327</v>
      </c>
    </row>
    <row r="22" spans="1:13">
      <c r="A22" s="69">
        <v>18</v>
      </c>
      <c r="B22" s="71" t="s">
        <v>328</v>
      </c>
      <c r="C22" s="71" t="s">
        <v>324</v>
      </c>
      <c r="D22" s="71" t="s">
        <v>269</v>
      </c>
      <c r="E22" s="71" t="s">
        <v>294</v>
      </c>
      <c r="F22" s="70">
        <v>25386</v>
      </c>
      <c r="G22" s="70">
        <v>34653</v>
      </c>
      <c r="H22" s="71" t="s">
        <v>329</v>
      </c>
      <c r="I22" s="71" t="s">
        <v>272</v>
      </c>
      <c r="J22" s="73" t="s">
        <v>273</v>
      </c>
      <c r="K22" s="74">
        <v>99999</v>
      </c>
      <c r="L22" s="73" t="s">
        <v>145</v>
      </c>
      <c r="M22" t="s">
        <v>281</v>
      </c>
    </row>
    <row r="23" spans="1:13">
      <c r="A23" s="69">
        <v>10</v>
      </c>
      <c r="B23" s="71" t="s">
        <v>330</v>
      </c>
      <c r="C23" s="71" t="s">
        <v>268</v>
      </c>
      <c r="D23" s="71" t="s">
        <v>269</v>
      </c>
      <c r="E23" s="71" t="s">
        <v>283</v>
      </c>
      <c r="F23" s="70">
        <v>25180</v>
      </c>
      <c r="G23" s="70">
        <v>33725</v>
      </c>
      <c r="H23" s="71" t="s">
        <v>331</v>
      </c>
      <c r="I23" s="71" t="s">
        <v>272</v>
      </c>
      <c r="J23" s="71" t="s">
        <v>273</v>
      </c>
      <c r="K23" s="72">
        <v>99999</v>
      </c>
      <c r="L23" s="71" t="s">
        <v>145</v>
      </c>
      <c r="M23" t="s">
        <v>281</v>
      </c>
    </row>
    <row r="24" spans="1:13">
      <c r="A24" s="69">
        <v>12</v>
      </c>
      <c r="B24" s="71" t="s">
        <v>332</v>
      </c>
      <c r="C24" s="71" t="s">
        <v>333</v>
      </c>
      <c r="D24" s="71" t="s">
        <v>269</v>
      </c>
      <c r="E24" s="71" t="s">
        <v>294</v>
      </c>
      <c r="F24" s="70">
        <v>23253</v>
      </c>
      <c r="G24" s="70">
        <v>33695</v>
      </c>
      <c r="H24" s="71" t="s">
        <v>334</v>
      </c>
      <c r="I24" s="71" t="s">
        <v>296</v>
      </c>
      <c r="J24" s="71" t="s">
        <v>273</v>
      </c>
      <c r="K24" s="72">
        <v>99999</v>
      </c>
      <c r="L24" s="71" t="s">
        <v>145</v>
      </c>
      <c r="M24" t="s">
        <v>281</v>
      </c>
    </row>
    <row r="25" spans="1:13">
      <c r="A25" s="69">
        <v>13</v>
      </c>
      <c r="B25" s="71" t="s">
        <v>335</v>
      </c>
      <c r="C25" s="71" t="s">
        <v>336</v>
      </c>
      <c r="D25" s="71" t="s">
        <v>269</v>
      </c>
      <c r="E25" s="71" t="s">
        <v>270</v>
      </c>
      <c r="F25" s="70">
        <v>21447</v>
      </c>
      <c r="G25" s="70">
        <v>34092</v>
      </c>
      <c r="H25" s="71" t="s">
        <v>337</v>
      </c>
      <c r="I25" s="71" t="s">
        <v>290</v>
      </c>
      <c r="J25" s="71" t="s">
        <v>273</v>
      </c>
      <c r="K25" s="72">
        <v>99999</v>
      </c>
      <c r="L25" s="71" t="s">
        <v>145</v>
      </c>
      <c r="M25" t="s">
        <v>281</v>
      </c>
    </row>
    <row r="26" spans="1:13">
      <c r="A26" s="69">
        <v>14</v>
      </c>
      <c r="B26" s="71" t="s">
        <v>338</v>
      </c>
      <c r="C26" s="71" t="s">
        <v>302</v>
      </c>
      <c r="D26" s="71" t="s">
        <v>303</v>
      </c>
      <c r="E26" s="71" t="s">
        <v>283</v>
      </c>
      <c r="F26" s="70">
        <v>20152</v>
      </c>
      <c r="G26" s="70">
        <v>34259</v>
      </c>
      <c r="H26" s="71" t="s">
        <v>339</v>
      </c>
      <c r="I26" s="71" t="s">
        <v>272</v>
      </c>
      <c r="J26" s="71" t="s">
        <v>273</v>
      </c>
      <c r="K26" s="72">
        <v>99999</v>
      </c>
      <c r="L26" s="71" t="s">
        <v>145</v>
      </c>
      <c r="M26" t="s">
        <v>281</v>
      </c>
    </row>
    <row r="27" spans="1:13">
      <c r="A27" s="69">
        <v>16</v>
      </c>
      <c r="B27" s="71" t="s">
        <v>340</v>
      </c>
      <c r="C27" s="71" t="s">
        <v>314</v>
      </c>
      <c r="D27" s="71" t="s">
        <v>269</v>
      </c>
      <c r="E27" s="71" t="s">
        <v>278</v>
      </c>
      <c r="F27" s="70">
        <v>22065</v>
      </c>
      <c r="G27" s="70">
        <v>34336</v>
      </c>
      <c r="H27" s="71" t="s">
        <v>341</v>
      </c>
      <c r="I27" s="71" t="s">
        <v>272</v>
      </c>
      <c r="J27" s="73" t="s">
        <v>273</v>
      </c>
      <c r="K27" s="74">
        <v>99999</v>
      </c>
      <c r="L27" s="73" t="s">
        <v>145</v>
      </c>
      <c r="M27" t="s">
        <v>281</v>
      </c>
    </row>
    <row r="28" spans="1:13">
      <c r="A28" s="69">
        <v>17</v>
      </c>
      <c r="B28" s="71" t="s">
        <v>342</v>
      </c>
      <c r="C28" s="71" t="s">
        <v>319</v>
      </c>
      <c r="D28" s="71" t="s">
        <v>343</v>
      </c>
      <c r="E28" s="71" t="s">
        <v>270</v>
      </c>
      <c r="F28" s="70">
        <v>21194</v>
      </c>
      <c r="G28" s="70">
        <v>34398</v>
      </c>
      <c r="H28" s="71" t="s">
        <v>344</v>
      </c>
      <c r="I28" s="71" t="s">
        <v>296</v>
      </c>
      <c r="J28" s="71" t="s">
        <v>273</v>
      </c>
      <c r="K28" s="72">
        <v>99999</v>
      </c>
      <c r="L28" s="71" t="s">
        <v>145</v>
      </c>
      <c r="M28" t="s">
        <v>281</v>
      </c>
    </row>
    <row r="29" spans="1:13">
      <c r="F29"/>
      <c r="G29"/>
      <c r="K29"/>
    </row>
    <row r="30" spans="1:13">
      <c r="F30"/>
      <c r="G30"/>
      <c r="K30"/>
    </row>
    <row r="31" spans="1:13">
      <c r="F31"/>
      <c r="G31"/>
      <c r="K31"/>
    </row>
    <row r="32" spans="1:13">
      <c r="F32"/>
      <c r="G32"/>
      <c r="K32"/>
    </row>
    <row r="33" spans="1:11">
      <c r="F33"/>
      <c r="G33"/>
      <c r="K33"/>
    </row>
    <row r="34" spans="1:11">
      <c r="F34"/>
      <c r="G34"/>
      <c r="K34"/>
    </row>
    <row r="35" spans="1:11">
      <c r="F35"/>
      <c r="G35"/>
      <c r="K35"/>
    </row>
    <row r="36" spans="1:11">
      <c r="F36"/>
      <c r="G36"/>
      <c r="K36"/>
    </row>
    <row r="37" spans="1:11">
      <c r="F37"/>
      <c r="G37"/>
      <c r="K37"/>
    </row>
    <row r="38" spans="1:11">
      <c r="F38"/>
      <c r="G38"/>
      <c r="K38"/>
    </row>
    <row r="39" spans="1:11">
      <c r="F39"/>
      <c r="G39"/>
      <c r="K39"/>
    </row>
    <row r="40" spans="1:11">
      <c r="F40"/>
      <c r="G40"/>
      <c r="K40"/>
    </row>
    <row r="41" spans="1:11">
      <c r="F41"/>
      <c r="G41"/>
      <c r="K41"/>
    </row>
    <row r="42" spans="1:11">
      <c r="A42" s="69"/>
      <c r="B42" s="69"/>
      <c r="C42" s="69"/>
      <c r="D42" s="69"/>
      <c r="E42" s="69"/>
      <c r="F42" s="70"/>
      <c r="G42" s="70"/>
      <c r="H42" s="69"/>
      <c r="I42" s="69"/>
    </row>
    <row r="43" spans="1:11">
      <c r="A43" s="69"/>
      <c r="B43" s="69"/>
      <c r="C43" s="69"/>
      <c r="D43" s="69"/>
      <c r="E43" s="69"/>
      <c r="F43" s="70"/>
      <c r="G43" s="70"/>
      <c r="H43" s="69"/>
      <c r="I43" s="69"/>
    </row>
    <row r="44" spans="1:11">
      <c r="A44" s="69"/>
      <c r="B44" s="69"/>
      <c r="C44" s="69"/>
      <c r="D44" s="69"/>
      <c r="E44" s="69"/>
      <c r="F44" s="70"/>
      <c r="G44" s="70"/>
      <c r="H44" s="69"/>
      <c r="I44" s="69"/>
    </row>
    <row r="45" spans="1:11">
      <c r="A45" s="69"/>
      <c r="B45" s="69"/>
      <c r="C45" s="69"/>
      <c r="D45" s="69"/>
      <c r="E45" s="69"/>
      <c r="F45" s="70"/>
      <c r="G45" s="70"/>
      <c r="H45" s="69"/>
      <c r="I45" s="69"/>
    </row>
    <row r="46" spans="1:11">
      <c r="A46" s="69"/>
      <c r="B46" s="69"/>
      <c r="C46" s="69"/>
      <c r="D46" s="69"/>
      <c r="E46" s="69"/>
      <c r="F46" s="70"/>
      <c r="G46" s="70"/>
      <c r="H46" s="69"/>
      <c r="I46" s="69"/>
    </row>
    <row r="47" spans="1:11">
      <c r="A47" s="69"/>
      <c r="B47" s="69"/>
      <c r="C47" s="69"/>
      <c r="D47" s="69"/>
      <c r="E47" s="69"/>
      <c r="F47" s="70"/>
      <c r="G47" s="70"/>
      <c r="H47" s="69"/>
      <c r="I47" s="69"/>
    </row>
    <row r="48" spans="1:11">
      <c r="A48" s="69"/>
      <c r="B48" s="69"/>
      <c r="C48" s="69"/>
      <c r="D48" s="69"/>
      <c r="E48" s="69"/>
      <c r="F48" s="70"/>
      <c r="G48" s="70"/>
      <c r="H48" s="69"/>
      <c r="I48" s="69"/>
    </row>
    <row r="49" spans="1:9">
      <c r="A49" s="69"/>
      <c r="B49" s="69"/>
      <c r="C49" s="69"/>
      <c r="D49" s="69"/>
      <c r="E49" s="69"/>
      <c r="F49" s="70"/>
      <c r="G49" s="70"/>
      <c r="H49" s="69"/>
      <c r="I49" s="69"/>
    </row>
    <row r="50" spans="1:9">
      <c r="A50" s="69"/>
      <c r="B50" s="69"/>
      <c r="C50" s="69"/>
      <c r="D50" s="69"/>
      <c r="E50" s="69"/>
      <c r="F50" s="70"/>
      <c r="G50" s="70"/>
      <c r="H50" s="69"/>
      <c r="I50" s="69"/>
    </row>
    <row r="51" spans="1:9">
      <c r="A51" s="69"/>
      <c r="B51" s="69"/>
      <c r="C51" s="69"/>
      <c r="D51" s="69"/>
      <c r="E51" s="69"/>
      <c r="F51" s="70"/>
      <c r="G51" s="70"/>
      <c r="H51" s="69"/>
      <c r="I51" s="69"/>
    </row>
    <row r="52" spans="1:9">
      <c r="A52" s="69"/>
      <c r="B52" s="69"/>
      <c r="C52" s="69"/>
      <c r="D52" s="69"/>
      <c r="E52" s="69"/>
      <c r="F52" s="70"/>
      <c r="G52" s="70"/>
      <c r="H52" s="69"/>
      <c r="I52" s="69"/>
    </row>
    <row r="53" spans="1:9">
      <c r="A53" s="69"/>
      <c r="B53" s="69"/>
      <c r="C53" s="69"/>
      <c r="D53" s="69"/>
      <c r="E53" s="69"/>
      <c r="F53" s="70"/>
      <c r="G53" s="70"/>
      <c r="H53" s="69"/>
      <c r="I53" s="69"/>
    </row>
    <row r="54" spans="1:9">
      <c r="A54" s="69"/>
      <c r="B54" s="69"/>
      <c r="C54" s="69"/>
      <c r="D54" s="69"/>
      <c r="E54" s="69"/>
      <c r="F54" s="70"/>
      <c r="G54" s="70"/>
      <c r="H54" s="69"/>
      <c r="I54" s="69"/>
    </row>
    <row r="55" spans="1:9">
      <c r="A55" s="69"/>
      <c r="B55" s="69"/>
      <c r="C55" s="69"/>
      <c r="D55" s="69"/>
      <c r="E55" s="69"/>
      <c r="F55" s="70"/>
      <c r="G55" s="70"/>
      <c r="H55" s="69"/>
      <c r="I55" s="69"/>
    </row>
    <row r="56" spans="1:9">
      <c r="A56" s="69"/>
      <c r="B56" s="69"/>
      <c r="C56" s="69"/>
      <c r="D56" s="69"/>
      <c r="E56" s="69"/>
      <c r="F56" s="70"/>
      <c r="G56" s="70"/>
      <c r="H56" s="69"/>
      <c r="I56" s="69"/>
    </row>
    <row r="57" spans="1:9">
      <c r="A57" s="69"/>
      <c r="B57" s="69"/>
      <c r="C57" s="69"/>
      <c r="D57" s="69"/>
      <c r="E57" s="69"/>
      <c r="F57" s="70"/>
      <c r="G57" s="70"/>
      <c r="H57" s="69"/>
      <c r="I57" s="69"/>
    </row>
    <row r="58" spans="1:9">
      <c r="A58" s="69"/>
      <c r="B58" s="69"/>
      <c r="C58" s="69"/>
      <c r="D58" s="69"/>
      <c r="E58" s="69"/>
      <c r="F58" s="70"/>
      <c r="G58" s="70"/>
      <c r="H58" s="69"/>
      <c r="I58" s="69"/>
    </row>
    <row r="59" spans="1:9">
      <c r="A59" s="69"/>
      <c r="B59" s="69"/>
      <c r="C59" s="69"/>
      <c r="D59" s="69"/>
      <c r="E59" s="69"/>
      <c r="F59" s="70"/>
      <c r="G59" s="70"/>
      <c r="H59" s="69"/>
      <c r="I59" s="69"/>
    </row>
    <row r="60" spans="1:9">
      <c r="A60" s="69"/>
      <c r="B60" s="69"/>
      <c r="C60" s="69"/>
      <c r="D60" s="69"/>
      <c r="E60" s="69"/>
      <c r="F60" s="70"/>
      <c r="G60" s="70"/>
      <c r="H60" s="69"/>
      <c r="I60" s="69"/>
    </row>
    <row r="61" spans="1:9">
      <c r="A61" s="69"/>
      <c r="B61" s="69"/>
      <c r="C61" s="69"/>
      <c r="D61" s="69"/>
      <c r="E61" s="69"/>
      <c r="F61" s="70"/>
      <c r="G61" s="70"/>
      <c r="H61" s="69"/>
      <c r="I61" s="69"/>
    </row>
    <row r="62" spans="1:9">
      <c r="A62" s="69"/>
      <c r="B62" s="69"/>
      <c r="C62" s="69"/>
      <c r="D62" s="69"/>
      <c r="E62" s="69"/>
      <c r="F62" s="70"/>
      <c r="G62" s="70"/>
      <c r="H62" s="69"/>
      <c r="I62" s="69"/>
    </row>
    <row r="63" spans="1:9">
      <c r="A63" s="69"/>
      <c r="B63" s="69"/>
      <c r="C63" s="69"/>
      <c r="D63" s="69"/>
      <c r="E63" s="69"/>
      <c r="F63" s="70"/>
      <c r="G63" s="70"/>
      <c r="H63" s="69"/>
      <c r="I63" s="69"/>
    </row>
    <row r="64" spans="1:9">
      <c r="A64" s="69"/>
      <c r="B64" s="69"/>
      <c r="C64" s="69"/>
      <c r="D64" s="69"/>
      <c r="E64" s="69"/>
      <c r="F64" s="70"/>
      <c r="G64" s="70"/>
      <c r="H64" s="69"/>
      <c r="I64" s="69"/>
    </row>
    <row r="65" spans="1:9">
      <c r="A65" s="69"/>
      <c r="B65" s="69"/>
      <c r="C65" s="69"/>
      <c r="D65" s="69"/>
      <c r="E65" s="69"/>
      <c r="F65" s="70"/>
      <c r="G65" s="70"/>
      <c r="H65" s="69"/>
      <c r="I65" s="69"/>
    </row>
    <row r="66" spans="1:9">
      <c r="A66" s="69"/>
      <c r="B66" s="69"/>
      <c r="C66" s="69"/>
      <c r="D66" s="69"/>
      <c r="E66" s="69"/>
      <c r="F66" s="70"/>
      <c r="G66" s="70"/>
      <c r="H66" s="69"/>
      <c r="I66" s="69"/>
    </row>
    <row r="67" spans="1:9">
      <c r="A67" s="69"/>
      <c r="B67" s="69"/>
      <c r="C67" s="69"/>
      <c r="D67" s="69"/>
      <c r="E67" s="69"/>
      <c r="F67" s="70"/>
      <c r="G67" s="70"/>
      <c r="H67" s="69"/>
      <c r="I67" s="69"/>
    </row>
    <row r="68" spans="1:9">
      <c r="A68" s="69"/>
      <c r="B68" s="69"/>
      <c r="C68" s="69"/>
      <c r="D68" s="69"/>
      <c r="E68" s="69"/>
      <c r="F68" s="70"/>
      <c r="G68" s="70"/>
      <c r="H68" s="69"/>
      <c r="I68" s="69"/>
    </row>
    <row r="69" spans="1:9">
      <c r="A69" s="69"/>
      <c r="B69" s="69"/>
      <c r="C69" s="69"/>
      <c r="D69" s="69"/>
      <c r="E69" s="69"/>
      <c r="F69" s="70"/>
      <c r="G69" s="70"/>
      <c r="H69" s="69"/>
      <c r="I69" s="69"/>
    </row>
    <row r="70" spans="1:9">
      <c r="A70" s="69"/>
      <c r="B70" s="69"/>
      <c r="C70" s="69"/>
      <c r="D70" s="69"/>
      <c r="E70" s="69"/>
      <c r="F70" s="70"/>
      <c r="G70" s="70"/>
      <c r="H70" s="69"/>
      <c r="I70" s="69"/>
    </row>
    <row r="71" spans="1:9">
      <c r="A71" s="69"/>
      <c r="B71" s="69"/>
      <c r="C71" s="69"/>
      <c r="D71" s="69"/>
      <c r="E71" s="69"/>
      <c r="F71" s="70"/>
      <c r="G71" s="70"/>
      <c r="H71" s="69"/>
      <c r="I71" s="69"/>
    </row>
    <row r="72" spans="1:9">
      <c r="A72" s="69"/>
      <c r="B72" s="69"/>
      <c r="C72" s="69"/>
      <c r="D72" s="69"/>
      <c r="E72" s="69"/>
      <c r="F72" s="70"/>
      <c r="G72" s="70"/>
      <c r="H72" s="69"/>
      <c r="I72" s="69"/>
    </row>
    <row r="73" spans="1:9">
      <c r="A73" s="69"/>
      <c r="B73" s="69"/>
      <c r="C73" s="69"/>
      <c r="D73" s="69"/>
      <c r="E73" s="69"/>
      <c r="F73" s="70"/>
      <c r="G73" s="70"/>
      <c r="H73" s="69"/>
      <c r="I73" s="69"/>
    </row>
    <row r="74" spans="1:9">
      <c r="A74" s="69"/>
      <c r="B74" s="69"/>
      <c r="C74" s="69"/>
      <c r="D74" s="69"/>
      <c r="E74" s="69"/>
      <c r="F74" s="70"/>
      <c r="G74" s="70"/>
      <c r="H74" s="69"/>
      <c r="I74" s="69"/>
    </row>
    <row r="75" spans="1:9">
      <c r="A75" s="69"/>
      <c r="B75" s="69"/>
      <c r="C75" s="69"/>
      <c r="D75" s="69"/>
      <c r="E75" s="69"/>
      <c r="F75" s="70"/>
      <c r="G75" s="70"/>
      <c r="H75" s="69"/>
      <c r="I75" s="69"/>
    </row>
    <row r="76" spans="1:9">
      <c r="A76" s="69"/>
      <c r="B76" s="69"/>
      <c r="C76" s="69"/>
      <c r="D76" s="69"/>
      <c r="E76" s="69"/>
      <c r="F76" s="70"/>
      <c r="G76" s="70"/>
      <c r="H76" s="69"/>
      <c r="I76" s="69"/>
    </row>
    <row r="77" spans="1:9">
      <c r="A77" s="69"/>
      <c r="B77" s="69"/>
      <c r="C77" s="69"/>
      <c r="D77" s="69"/>
      <c r="E77" s="69"/>
      <c r="F77" s="70"/>
      <c r="G77" s="70"/>
      <c r="H77" s="69"/>
      <c r="I77" s="69"/>
    </row>
    <row r="78" spans="1:9">
      <c r="A78" s="69"/>
      <c r="B78" s="69"/>
      <c r="C78" s="69"/>
      <c r="D78" s="69"/>
      <c r="E78" s="69"/>
      <c r="F78" s="70"/>
      <c r="G78" s="70"/>
      <c r="H78" s="69"/>
      <c r="I78" s="69"/>
    </row>
    <row r="79" spans="1:9">
      <c r="A79" s="69"/>
      <c r="B79" s="69"/>
      <c r="C79" s="69"/>
      <c r="D79" s="69"/>
      <c r="E79" s="69"/>
      <c r="F79" s="70"/>
      <c r="G79" s="70"/>
      <c r="H79" s="69"/>
      <c r="I79" s="69"/>
    </row>
    <row r="80" spans="1:9">
      <c r="A80" s="69"/>
      <c r="B80" s="69"/>
      <c r="C80" s="69"/>
      <c r="D80" s="69"/>
      <c r="E80" s="69"/>
      <c r="F80" s="70"/>
      <c r="G80" s="70"/>
      <c r="H80" s="69"/>
      <c r="I80" s="69"/>
    </row>
    <row r="81" spans="1:9">
      <c r="A81" s="69"/>
      <c r="B81" s="69"/>
      <c r="C81" s="69"/>
      <c r="D81" s="69"/>
      <c r="E81" s="69"/>
      <c r="F81" s="70"/>
      <c r="G81" s="70"/>
      <c r="H81" s="69"/>
      <c r="I81" s="69"/>
    </row>
    <row r="82" spans="1:9">
      <c r="A82" s="69"/>
      <c r="B82" s="69"/>
      <c r="C82" s="69"/>
      <c r="D82" s="69"/>
      <c r="E82" s="69"/>
      <c r="F82" s="70"/>
      <c r="G82" s="70"/>
      <c r="H82" s="69"/>
      <c r="I82" s="69"/>
    </row>
    <row r="83" spans="1:9">
      <c r="A83" s="69"/>
      <c r="B83" s="69"/>
      <c r="C83" s="69"/>
      <c r="D83" s="69"/>
      <c r="E83" s="69"/>
      <c r="F83" s="70"/>
      <c r="G83" s="70"/>
      <c r="H83" s="69"/>
      <c r="I83" s="69"/>
    </row>
    <row r="84" spans="1:9">
      <c r="A84" s="69"/>
      <c r="B84" s="69"/>
      <c r="C84" s="69"/>
      <c r="D84" s="69"/>
      <c r="E84" s="69"/>
      <c r="F84" s="70"/>
      <c r="G84" s="70"/>
      <c r="H84" s="69"/>
      <c r="I84" s="69"/>
    </row>
    <row r="85" spans="1:9">
      <c r="A85" s="69"/>
      <c r="B85" s="69"/>
      <c r="C85" s="69"/>
      <c r="D85" s="69"/>
      <c r="E85" s="69"/>
      <c r="F85" s="70"/>
      <c r="G85" s="70"/>
      <c r="H85" s="69"/>
      <c r="I85" s="69"/>
    </row>
    <row r="86" spans="1:9">
      <c r="A86" s="69"/>
      <c r="B86" s="69"/>
      <c r="C86" s="69"/>
      <c r="D86" s="69"/>
      <c r="E86" s="69"/>
      <c r="F86" s="70"/>
      <c r="G86" s="70"/>
      <c r="H86" s="69"/>
      <c r="I86" s="69"/>
    </row>
    <row r="87" spans="1:9">
      <c r="A87" s="69"/>
      <c r="B87" s="69"/>
      <c r="C87" s="69"/>
      <c r="D87" s="69"/>
      <c r="E87" s="69"/>
      <c r="F87" s="70"/>
      <c r="G87" s="70"/>
      <c r="H87" s="69"/>
      <c r="I87" s="69"/>
    </row>
    <row r="88" spans="1:9">
      <c r="A88" s="69"/>
      <c r="B88" s="69"/>
      <c r="C88" s="69"/>
      <c r="D88" s="69"/>
      <c r="E88" s="69"/>
      <c r="F88" s="70"/>
      <c r="G88" s="70"/>
      <c r="H88" s="69"/>
      <c r="I88" s="69"/>
    </row>
    <row r="89" spans="1:9">
      <c r="A89" s="69"/>
      <c r="B89" s="69"/>
      <c r="C89" s="69"/>
      <c r="D89" s="69"/>
      <c r="E89" s="69"/>
      <c r="F89" s="70"/>
      <c r="G89" s="70"/>
      <c r="H89" s="69"/>
      <c r="I89" s="69"/>
    </row>
    <row r="90" spans="1:9">
      <c r="A90" s="69"/>
      <c r="B90" s="69"/>
      <c r="C90" s="69"/>
      <c r="D90" s="69"/>
      <c r="E90" s="69"/>
      <c r="F90" s="70"/>
      <c r="G90" s="70"/>
      <c r="H90" s="69"/>
      <c r="I90" s="69"/>
    </row>
    <row r="91" spans="1:9">
      <c r="A91" s="69"/>
      <c r="B91" s="69"/>
      <c r="C91" s="69"/>
      <c r="D91" s="69"/>
      <c r="E91" s="69"/>
      <c r="F91" s="70"/>
      <c r="G91" s="70"/>
      <c r="H91" s="69"/>
      <c r="I91" s="69"/>
    </row>
    <row r="92" spans="1:9">
      <c r="A92" s="69"/>
      <c r="B92" s="69"/>
      <c r="C92" s="69"/>
      <c r="D92" s="69"/>
      <c r="E92" s="69"/>
      <c r="F92" s="70"/>
      <c r="G92" s="70"/>
      <c r="H92" s="69"/>
      <c r="I92" s="69"/>
    </row>
    <row r="93" spans="1:9">
      <c r="A93" s="69"/>
      <c r="B93" s="69"/>
      <c r="C93" s="69"/>
      <c r="D93" s="69"/>
      <c r="E93" s="69"/>
      <c r="F93" s="70"/>
      <c r="G93" s="70"/>
      <c r="H93" s="69"/>
      <c r="I93" s="69"/>
    </row>
    <row r="94" spans="1:9">
      <c r="A94" s="69"/>
      <c r="B94" s="69"/>
      <c r="C94" s="69"/>
      <c r="D94" s="69"/>
      <c r="E94" s="69"/>
      <c r="F94" s="70"/>
      <c r="G94" s="70"/>
      <c r="H94" s="69"/>
      <c r="I94" s="69"/>
    </row>
    <row r="95" spans="1:9">
      <c r="A95" s="69"/>
      <c r="B95" s="69"/>
      <c r="C95" s="69"/>
      <c r="D95" s="69"/>
      <c r="E95" s="69"/>
      <c r="F95" s="70"/>
      <c r="G95" s="70"/>
      <c r="H95" s="69"/>
      <c r="I95" s="69"/>
    </row>
    <row r="96" spans="1:9">
      <c r="A96" s="69"/>
      <c r="B96" s="69"/>
      <c r="C96" s="69"/>
      <c r="D96" s="69"/>
      <c r="E96" s="69"/>
      <c r="F96" s="70"/>
      <c r="G96" s="70"/>
      <c r="H96" s="69"/>
      <c r="I96" s="69"/>
    </row>
    <row r="97" spans="1:9">
      <c r="A97" s="69"/>
      <c r="B97" s="69"/>
      <c r="C97" s="69"/>
      <c r="D97" s="69"/>
      <c r="E97" s="69"/>
      <c r="F97" s="70"/>
      <c r="G97" s="70"/>
      <c r="H97" s="69"/>
      <c r="I97" s="69"/>
    </row>
    <row r="98" spans="1:9">
      <c r="A98" s="69"/>
      <c r="B98" s="69"/>
      <c r="C98" s="69"/>
      <c r="D98" s="69"/>
      <c r="E98" s="69"/>
      <c r="F98" s="70"/>
      <c r="G98" s="70"/>
      <c r="H98" s="69"/>
      <c r="I98" s="69"/>
    </row>
    <row r="99" spans="1:9">
      <c r="A99" s="69"/>
      <c r="B99" s="69"/>
      <c r="C99" s="69"/>
      <c r="D99" s="69"/>
      <c r="E99" s="69"/>
      <c r="F99" s="70"/>
      <c r="G99" s="70"/>
      <c r="H99" s="69"/>
      <c r="I99" s="69"/>
    </row>
    <row r="100" spans="1:9">
      <c r="A100" s="69"/>
      <c r="B100" s="69"/>
      <c r="C100" s="69"/>
      <c r="D100" s="69"/>
      <c r="E100" s="69"/>
      <c r="F100" s="70"/>
      <c r="G100" s="70"/>
      <c r="H100" s="69"/>
      <c r="I100" s="69"/>
    </row>
    <row r="101" spans="1:9">
      <c r="A101" s="69"/>
      <c r="B101" s="69"/>
      <c r="C101" s="69"/>
      <c r="D101" s="69"/>
      <c r="E101" s="69"/>
      <c r="F101" s="70"/>
      <c r="G101" s="70"/>
      <c r="H101" s="69"/>
      <c r="I101" s="69"/>
    </row>
    <row r="102" spans="1:9">
      <c r="A102" s="69"/>
      <c r="B102" s="69"/>
      <c r="C102" s="69"/>
      <c r="D102" s="69"/>
      <c r="E102" s="69"/>
      <c r="F102" s="70"/>
      <c r="G102" s="70"/>
      <c r="H102" s="69"/>
      <c r="I102" s="69"/>
    </row>
    <row r="103" spans="1:9">
      <c r="A103" s="69"/>
      <c r="B103" s="69"/>
      <c r="C103" s="69"/>
      <c r="D103" s="69"/>
      <c r="E103" s="69"/>
      <c r="F103" s="70"/>
      <c r="G103" s="70"/>
      <c r="H103" s="69"/>
      <c r="I103" s="69"/>
    </row>
    <row r="104" spans="1:9">
      <c r="A104" s="69"/>
      <c r="B104" s="69"/>
      <c r="C104" s="69"/>
      <c r="D104" s="69"/>
      <c r="E104" s="69"/>
      <c r="F104" s="70"/>
      <c r="G104" s="70"/>
      <c r="H104" s="69"/>
      <c r="I104" s="69"/>
    </row>
    <row r="105" spans="1:9">
      <c r="A105" s="75"/>
      <c r="B105" s="75"/>
      <c r="C105" s="75"/>
      <c r="D105" s="75"/>
      <c r="E105" s="75"/>
      <c r="F105" s="76"/>
      <c r="G105" s="76"/>
      <c r="H105" s="75"/>
      <c r="I105" s="75"/>
    </row>
  </sheetData>
  <mergeCells count="1">
    <mergeCell ref="B1:G1"/>
  </mergeCells>
  <conditionalFormatting sqref="A10:A28">
    <cfRule type="duplicateValues" dxfId="15" priority="1"/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"/>
  <sheetViews>
    <sheetView workbookViewId="0">
      <selection activeCell="D9" sqref="D9"/>
    </sheetView>
  </sheetViews>
  <sheetFormatPr defaultColWidth="9" defaultRowHeight="14.4"/>
  <cols>
    <col min="1" max="1" width="11.6666666666667" customWidth="1"/>
    <col min="2" max="2" width="33.6666666666667" customWidth="1"/>
    <col min="3" max="3" width="32" customWidth="1"/>
    <col min="4" max="4" width="17" customWidth="1"/>
    <col min="5" max="5" width="18.3333333333333" customWidth="1"/>
    <col min="6" max="6" width="11" style="45" customWidth="1"/>
    <col min="7" max="7" width="14.4444444444444" customWidth="1"/>
    <col min="8" max="8" width="17.5555555555556" customWidth="1"/>
    <col min="9" max="9" width="21" customWidth="1"/>
    <col min="10" max="10" width="14.3333333333333" customWidth="1"/>
  </cols>
  <sheetData>
    <row r="1" ht="23.4" spans="1:10">
      <c r="B1" s="16" t="s">
        <v>345</v>
      </c>
      <c r="C1" s="16"/>
      <c r="D1" s="16"/>
      <c r="E1" s="16"/>
      <c r="F1" s="16"/>
      <c r="G1" s="16"/>
    </row>
    <row r="4" ht="18" spans="1:10">
      <c r="H4" s="46" t="s">
        <v>346</v>
      </c>
      <c r="I4" s="46" t="s">
        <v>347</v>
      </c>
    </row>
    <row r="5" spans="1:10">
      <c r="H5" s="47">
        <f>SUBTOTAL(9,F10:F93)</f>
        <v>2222.71</v>
      </c>
      <c r="I5" s="47">
        <f>SUBTOTAL(1,F10:F93)</f>
        <v>28.8663636363636</v>
      </c>
    </row>
    <row r="9" spans="1:10">
      <c r="A9" s="48" t="s">
        <v>1</v>
      </c>
      <c r="B9" s="49" t="s">
        <v>2</v>
      </c>
      <c r="C9" s="49" t="s">
        <v>3</v>
      </c>
      <c r="D9" s="49" t="s">
        <v>4</v>
      </c>
      <c r="E9" s="49" t="s">
        <v>348</v>
      </c>
      <c r="F9" s="50" t="s">
        <v>5</v>
      </c>
      <c r="G9" s="49" t="s">
        <v>6</v>
      </c>
      <c r="H9" s="49" t="s">
        <v>7</v>
      </c>
      <c r="I9" s="49" t="s">
        <v>8</v>
      </c>
      <c r="J9" s="51" t="s">
        <v>9</v>
      </c>
    </row>
    <row r="10" outlineLevel="2" spans="1:10">
      <c r="A10" s="52">
        <v>1</v>
      </c>
      <c r="B10" s="52" t="s">
        <v>10</v>
      </c>
      <c r="C10" s="52" t="s">
        <v>11</v>
      </c>
      <c r="D10" s="52" t="s">
        <v>12</v>
      </c>
      <c r="E10" s="52" t="s">
        <v>349</v>
      </c>
      <c r="F10" s="53">
        <v>18</v>
      </c>
      <c r="G10" s="52">
        <v>39</v>
      </c>
      <c r="H10" s="52">
        <v>0</v>
      </c>
      <c r="I10" s="52">
        <v>10</v>
      </c>
      <c r="J10" s="54" t="b">
        <v>0</v>
      </c>
    </row>
    <row r="11" outlineLevel="2" spans="1:10">
      <c r="A11" s="55">
        <v>2</v>
      </c>
      <c r="B11" s="55" t="s">
        <v>13</v>
      </c>
      <c r="C11" s="55" t="s">
        <v>11</v>
      </c>
      <c r="D11" s="55" t="s">
        <v>12</v>
      </c>
      <c r="E11" s="55" t="s">
        <v>350</v>
      </c>
      <c r="F11" s="56">
        <v>19</v>
      </c>
      <c r="G11" s="55">
        <v>17</v>
      </c>
      <c r="H11" s="55">
        <v>40</v>
      </c>
      <c r="I11" s="55">
        <v>25</v>
      </c>
      <c r="J11" s="57" t="b">
        <v>0</v>
      </c>
    </row>
    <row r="12" outlineLevel="2" spans="1:10">
      <c r="A12" s="55">
        <v>24</v>
      </c>
      <c r="B12" s="55" t="s">
        <v>50</v>
      </c>
      <c r="C12" s="55" t="s">
        <v>51</v>
      </c>
      <c r="D12" s="55" t="s">
        <v>12</v>
      </c>
      <c r="E12" s="55" t="s">
        <v>351</v>
      </c>
      <c r="F12" s="56">
        <v>4.5</v>
      </c>
      <c r="G12" s="55">
        <v>20</v>
      </c>
      <c r="H12" s="55">
        <v>0</v>
      </c>
      <c r="I12" s="55">
        <v>0</v>
      </c>
      <c r="J12" s="57" t="b">
        <v>1</v>
      </c>
    </row>
    <row r="13" outlineLevel="2" spans="1:10">
      <c r="A13" s="55">
        <v>34</v>
      </c>
      <c r="B13" s="55" t="s">
        <v>66</v>
      </c>
      <c r="C13" s="55" t="s">
        <v>67</v>
      </c>
      <c r="D13" s="55" t="s">
        <v>12</v>
      </c>
      <c r="E13" s="55" t="s">
        <v>350</v>
      </c>
      <c r="F13" s="56">
        <v>14</v>
      </c>
      <c r="G13" s="55">
        <v>111</v>
      </c>
      <c r="H13" s="55">
        <v>0</v>
      </c>
      <c r="I13" s="55">
        <v>15</v>
      </c>
      <c r="J13" s="57" t="b">
        <v>0</v>
      </c>
    </row>
    <row r="14" outlineLevel="2" spans="1:10">
      <c r="A14" s="52">
        <v>35</v>
      </c>
      <c r="B14" s="52" t="s">
        <v>68</v>
      </c>
      <c r="C14" s="52" t="s">
        <v>67</v>
      </c>
      <c r="D14" s="52" t="s">
        <v>12</v>
      </c>
      <c r="E14" s="52" t="s">
        <v>350</v>
      </c>
      <c r="F14" s="53">
        <v>18</v>
      </c>
      <c r="G14" s="52">
        <v>20</v>
      </c>
      <c r="H14" s="52">
        <v>0</v>
      </c>
      <c r="I14" s="52">
        <v>15</v>
      </c>
      <c r="J14" s="54" t="b">
        <v>0</v>
      </c>
    </row>
    <row r="15" outlineLevel="2" spans="1:10">
      <c r="A15" s="55">
        <v>38</v>
      </c>
      <c r="B15" s="55" t="s">
        <v>72</v>
      </c>
      <c r="C15" s="55" t="s">
        <v>73</v>
      </c>
      <c r="D15" s="55" t="s">
        <v>12</v>
      </c>
      <c r="E15" s="55" t="s">
        <v>352</v>
      </c>
      <c r="F15" s="56">
        <v>263.5</v>
      </c>
      <c r="G15" s="55">
        <v>17</v>
      </c>
      <c r="H15" s="55">
        <v>0</v>
      </c>
      <c r="I15" s="55">
        <v>15</v>
      </c>
      <c r="J15" s="57" t="b">
        <v>0</v>
      </c>
    </row>
    <row r="16" outlineLevel="2" spans="1:10">
      <c r="A16" s="52">
        <v>39</v>
      </c>
      <c r="B16" s="52" t="s">
        <v>74</v>
      </c>
      <c r="C16" s="52" t="s">
        <v>73</v>
      </c>
      <c r="D16" s="52" t="s">
        <v>12</v>
      </c>
      <c r="E16" s="52" t="s">
        <v>353</v>
      </c>
      <c r="F16" s="53">
        <v>18</v>
      </c>
      <c r="G16" s="52">
        <v>69</v>
      </c>
      <c r="H16" s="52">
        <v>0</v>
      </c>
      <c r="I16" s="52">
        <v>5</v>
      </c>
      <c r="J16" s="54" t="b">
        <v>0</v>
      </c>
    </row>
    <row r="17" outlineLevel="2" spans="1:10">
      <c r="A17" s="52">
        <v>43</v>
      </c>
      <c r="B17" s="52" t="s">
        <v>80</v>
      </c>
      <c r="C17" s="52" t="s">
        <v>79</v>
      </c>
      <c r="D17" s="52" t="s">
        <v>12</v>
      </c>
      <c r="E17" s="52" t="s">
        <v>354</v>
      </c>
      <c r="F17" s="53">
        <v>46</v>
      </c>
      <c r="G17" s="52">
        <v>17</v>
      </c>
      <c r="H17" s="52">
        <v>10</v>
      </c>
      <c r="I17" s="52">
        <v>25</v>
      </c>
      <c r="J17" s="54" t="b">
        <v>0</v>
      </c>
    </row>
    <row r="18" outlineLevel="2" spans="1:10">
      <c r="A18" s="52">
        <v>67</v>
      </c>
      <c r="B18" s="52" t="s">
        <v>113</v>
      </c>
      <c r="C18" s="52" t="s">
        <v>67</v>
      </c>
      <c r="D18" s="52" t="s">
        <v>12</v>
      </c>
      <c r="E18" s="52" t="s">
        <v>350</v>
      </c>
      <c r="F18" s="53">
        <v>14</v>
      </c>
      <c r="G18" s="52">
        <v>52</v>
      </c>
      <c r="H18" s="52">
        <v>0</v>
      </c>
      <c r="I18" s="52">
        <v>10</v>
      </c>
      <c r="J18" s="54" t="b">
        <v>0</v>
      </c>
    </row>
    <row r="19" outlineLevel="2" spans="1:10">
      <c r="A19" s="55">
        <v>70</v>
      </c>
      <c r="B19" s="55" t="s">
        <v>116</v>
      </c>
      <c r="C19" s="55" t="s">
        <v>38</v>
      </c>
      <c r="D19" s="55" t="s">
        <v>12</v>
      </c>
      <c r="E19" s="55" t="s">
        <v>355</v>
      </c>
      <c r="F19" s="56">
        <v>15</v>
      </c>
      <c r="G19" s="55">
        <v>15</v>
      </c>
      <c r="H19" s="55">
        <v>10</v>
      </c>
      <c r="I19" s="55">
        <v>30</v>
      </c>
      <c r="J19" s="57" t="b">
        <v>0</v>
      </c>
    </row>
    <row r="20" outlineLevel="2" spans="1:10">
      <c r="A20" s="52">
        <v>75</v>
      </c>
      <c r="B20" s="52" t="s">
        <v>121</v>
      </c>
      <c r="C20" s="52" t="s">
        <v>57</v>
      </c>
      <c r="D20" s="52" t="s">
        <v>12</v>
      </c>
      <c r="E20" s="52" t="s">
        <v>356</v>
      </c>
      <c r="F20" s="53">
        <v>7.75</v>
      </c>
      <c r="G20" s="52">
        <v>125</v>
      </c>
      <c r="H20" s="52">
        <v>0</v>
      </c>
      <c r="I20" s="52">
        <v>25</v>
      </c>
      <c r="J20" s="54" t="b">
        <v>0</v>
      </c>
    </row>
    <row r="21" outlineLevel="2" spans="1:10">
      <c r="A21" s="55">
        <v>76</v>
      </c>
      <c r="B21" s="55" t="s">
        <v>122</v>
      </c>
      <c r="C21" s="55" t="s">
        <v>89</v>
      </c>
      <c r="D21" s="55" t="s">
        <v>12</v>
      </c>
      <c r="E21" s="55" t="s">
        <v>357</v>
      </c>
      <c r="F21" s="56">
        <v>18</v>
      </c>
      <c r="G21" s="55">
        <v>57</v>
      </c>
      <c r="H21" s="55">
        <v>0</v>
      </c>
      <c r="I21" s="55">
        <v>20</v>
      </c>
      <c r="J21" s="57" t="b">
        <v>0</v>
      </c>
    </row>
    <row r="22" outlineLevel="1" spans="1:10">
      <c r="A22" s="55"/>
      <c r="B22" s="55"/>
      <c r="C22" s="55"/>
      <c r="D22" s="58" t="s">
        <v>358</v>
      </c>
      <c r="E22" s="55"/>
      <c r="F22" s="56">
        <f>SUBTOTAL(9,F10:F21)</f>
        <v>455.75</v>
      </c>
      <c r="G22" s="55"/>
      <c r="H22" s="55"/>
      <c r="I22" s="55"/>
      <c r="J22" s="57"/>
    </row>
    <row r="23" outlineLevel="2" spans="1:10">
      <c r="A23" s="52">
        <v>3</v>
      </c>
      <c r="B23" s="52" t="s">
        <v>14</v>
      </c>
      <c r="C23" s="52" t="s">
        <v>11</v>
      </c>
      <c r="D23" s="52" t="s">
        <v>15</v>
      </c>
      <c r="E23" s="52" t="s">
        <v>359</v>
      </c>
      <c r="F23" s="53">
        <v>10</v>
      </c>
      <c r="G23" s="52">
        <v>13</v>
      </c>
      <c r="H23" s="52">
        <v>70</v>
      </c>
      <c r="I23" s="52">
        <v>25</v>
      </c>
      <c r="J23" s="54" t="b">
        <v>0</v>
      </c>
    </row>
    <row r="24" outlineLevel="2" spans="1:10">
      <c r="A24" s="55">
        <v>4</v>
      </c>
      <c r="B24" s="55" t="s">
        <v>16</v>
      </c>
      <c r="C24" s="55" t="s">
        <v>17</v>
      </c>
      <c r="D24" s="55" t="s">
        <v>15</v>
      </c>
      <c r="E24" s="55" t="s">
        <v>360</v>
      </c>
      <c r="F24" s="56">
        <v>22</v>
      </c>
      <c r="G24" s="55">
        <v>53</v>
      </c>
      <c r="H24" s="55">
        <v>0</v>
      </c>
      <c r="I24" s="55">
        <v>0</v>
      </c>
      <c r="J24" s="57" t="b">
        <v>0</v>
      </c>
    </row>
    <row r="25" outlineLevel="2" spans="1:10">
      <c r="A25" s="52">
        <v>5</v>
      </c>
      <c r="B25" s="52" t="s">
        <v>18</v>
      </c>
      <c r="C25" s="52" t="s">
        <v>17</v>
      </c>
      <c r="D25" s="52" t="s">
        <v>15</v>
      </c>
      <c r="E25" s="52" t="s">
        <v>361</v>
      </c>
      <c r="F25" s="53">
        <v>21.35</v>
      </c>
      <c r="G25" s="52">
        <v>0</v>
      </c>
      <c r="H25" s="52">
        <v>0</v>
      </c>
      <c r="I25" s="52">
        <v>0</v>
      </c>
      <c r="J25" s="54" t="b">
        <v>1</v>
      </c>
    </row>
    <row r="26" outlineLevel="2" spans="1:10">
      <c r="A26" s="55">
        <v>6</v>
      </c>
      <c r="B26" s="55" t="s">
        <v>19</v>
      </c>
      <c r="C26" s="55" t="s">
        <v>20</v>
      </c>
      <c r="D26" s="55" t="s">
        <v>15</v>
      </c>
      <c r="E26" s="55" t="s">
        <v>362</v>
      </c>
      <c r="F26" s="56">
        <v>25</v>
      </c>
      <c r="G26" s="55">
        <v>120</v>
      </c>
      <c r="H26" s="55">
        <v>0</v>
      </c>
      <c r="I26" s="55">
        <v>25</v>
      </c>
      <c r="J26" s="57" t="b">
        <v>0</v>
      </c>
    </row>
    <row r="27" outlineLevel="2" spans="1:10">
      <c r="A27" s="55">
        <v>8</v>
      </c>
      <c r="B27" s="55" t="s">
        <v>23</v>
      </c>
      <c r="C27" s="55" t="s">
        <v>20</v>
      </c>
      <c r="D27" s="55" t="s">
        <v>15</v>
      </c>
      <c r="E27" s="55" t="s">
        <v>363</v>
      </c>
      <c r="F27" s="56">
        <v>40</v>
      </c>
      <c r="G27" s="55">
        <v>6</v>
      </c>
      <c r="H27" s="55">
        <v>0</v>
      </c>
      <c r="I27" s="55">
        <v>0</v>
      </c>
      <c r="J27" s="57" t="b">
        <v>0</v>
      </c>
    </row>
    <row r="28" outlineLevel="2" spans="1:10">
      <c r="A28" s="52">
        <v>15</v>
      </c>
      <c r="B28" s="52" t="s">
        <v>36</v>
      </c>
      <c r="C28" s="52" t="s">
        <v>34</v>
      </c>
      <c r="D28" s="52" t="s">
        <v>15</v>
      </c>
      <c r="E28" s="52" t="s">
        <v>364</v>
      </c>
      <c r="F28" s="53">
        <v>15.5</v>
      </c>
      <c r="G28" s="52">
        <v>39</v>
      </c>
      <c r="H28" s="52">
        <v>0</v>
      </c>
      <c r="I28" s="52">
        <v>5</v>
      </c>
      <c r="J28" s="54" t="b">
        <v>0</v>
      </c>
    </row>
    <row r="29" outlineLevel="2" spans="1:10">
      <c r="A29" s="55">
        <v>44</v>
      </c>
      <c r="B29" s="55" t="s">
        <v>81</v>
      </c>
      <c r="C29" s="55" t="s">
        <v>79</v>
      </c>
      <c r="D29" s="55" t="s">
        <v>15</v>
      </c>
      <c r="E29" s="55" t="s">
        <v>365</v>
      </c>
      <c r="F29" s="56">
        <v>19.45</v>
      </c>
      <c r="G29" s="55">
        <v>27</v>
      </c>
      <c r="H29" s="55">
        <v>0</v>
      </c>
      <c r="I29" s="55">
        <v>15</v>
      </c>
      <c r="J29" s="57" t="b">
        <v>0</v>
      </c>
    </row>
    <row r="30" outlineLevel="2" spans="1:10">
      <c r="A30" s="52">
        <v>61</v>
      </c>
      <c r="B30" s="52" t="s">
        <v>106</v>
      </c>
      <c r="C30" s="52" t="s">
        <v>107</v>
      </c>
      <c r="D30" s="52" t="s">
        <v>15</v>
      </c>
      <c r="E30" s="52" t="s">
        <v>366</v>
      </c>
      <c r="F30" s="53">
        <v>28.5</v>
      </c>
      <c r="G30" s="52">
        <v>113</v>
      </c>
      <c r="H30" s="52">
        <v>0</v>
      </c>
      <c r="I30" s="52">
        <v>25</v>
      </c>
      <c r="J30" s="54" t="b">
        <v>0</v>
      </c>
    </row>
    <row r="31" outlineLevel="2" spans="1:10">
      <c r="A31" s="52">
        <v>63</v>
      </c>
      <c r="B31" s="52" t="s">
        <v>109</v>
      </c>
      <c r="C31" s="52" t="s">
        <v>38</v>
      </c>
      <c r="D31" s="52" t="s">
        <v>15</v>
      </c>
      <c r="E31" s="52" t="s">
        <v>367</v>
      </c>
      <c r="F31" s="53">
        <v>43.9</v>
      </c>
      <c r="G31" s="52">
        <v>24</v>
      </c>
      <c r="H31" s="52">
        <v>0</v>
      </c>
      <c r="I31" s="52">
        <v>5</v>
      </c>
      <c r="J31" s="54" t="b">
        <v>0</v>
      </c>
    </row>
    <row r="32" outlineLevel="2" spans="1:10">
      <c r="A32" s="52">
        <v>65</v>
      </c>
      <c r="B32" s="52" t="s">
        <v>111</v>
      </c>
      <c r="C32" s="52" t="s">
        <v>17</v>
      </c>
      <c r="D32" s="52" t="s">
        <v>15</v>
      </c>
      <c r="E32" s="52" t="s">
        <v>368</v>
      </c>
      <c r="F32" s="53">
        <v>21.05</v>
      </c>
      <c r="G32" s="52">
        <v>76</v>
      </c>
      <c r="H32" s="52">
        <v>0</v>
      </c>
      <c r="I32" s="52">
        <v>0</v>
      </c>
      <c r="J32" s="54" t="b">
        <v>0</v>
      </c>
    </row>
    <row r="33" outlineLevel="2" spans="1:10">
      <c r="A33" s="55">
        <v>66</v>
      </c>
      <c r="B33" s="55" t="s">
        <v>112</v>
      </c>
      <c r="C33" s="55" t="s">
        <v>17</v>
      </c>
      <c r="D33" s="55" t="s">
        <v>15</v>
      </c>
      <c r="E33" s="55" t="s">
        <v>369</v>
      </c>
      <c r="F33" s="56">
        <v>17</v>
      </c>
      <c r="G33" s="55">
        <v>4</v>
      </c>
      <c r="H33" s="55">
        <v>100</v>
      </c>
      <c r="I33" s="55">
        <v>20</v>
      </c>
      <c r="J33" s="57" t="b">
        <v>0</v>
      </c>
    </row>
    <row r="34" outlineLevel="2" spans="1:10">
      <c r="A34" s="52">
        <v>77</v>
      </c>
      <c r="B34" s="52" t="s">
        <v>123</v>
      </c>
      <c r="C34" s="52" t="s">
        <v>57</v>
      </c>
      <c r="D34" s="52" t="s">
        <v>15</v>
      </c>
      <c r="E34" s="52" t="s">
        <v>370</v>
      </c>
      <c r="F34" s="53">
        <v>13</v>
      </c>
      <c r="G34" s="52">
        <v>32</v>
      </c>
      <c r="H34" s="52">
        <v>0</v>
      </c>
      <c r="I34" s="52">
        <v>15</v>
      </c>
      <c r="J34" s="54" t="b">
        <v>0</v>
      </c>
    </row>
    <row r="35" outlineLevel="1" spans="1:10">
      <c r="A35" s="52"/>
      <c r="B35" s="52"/>
      <c r="C35" s="52"/>
      <c r="D35" s="59" t="s">
        <v>371</v>
      </c>
      <c r="E35" s="52"/>
      <c r="F35" s="53">
        <f>SUBTOTAL(9,F23:F34)</f>
        <v>276.75</v>
      </c>
      <c r="G35" s="52"/>
      <c r="H35" s="52"/>
      <c r="I35" s="52"/>
      <c r="J35" s="54"/>
    </row>
    <row r="36" outlineLevel="2" spans="1:10">
      <c r="A36" s="55">
        <v>16</v>
      </c>
      <c r="B36" s="55" t="s">
        <v>37</v>
      </c>
      <c r="C36" s="55" t="s">
        <v>38</v>
      </c>
      <c r="D36" s="55" t="s">
        <v>39</v>
      </c>
      <c r="E36" s="55" t="s">
        <v>372</v>
      </c>
      <c r="F36" s="56">
        <v>17.45</v>
      </c>
      <c r="G36" s="55">
        <v>29</v>
      </c>
      <c r="H36" s="55">
        <v>0</v>
      </c>
      <c r="I36" s="55">
        <v>10</v>
      </c>
      <c r="J36" s="57" t="b">
        <v>0</v>
      </c>
    </row>
    <row r="37" outlineLevel="2" spans="1:10">
      <c r="A37" s="52">
        <v>19</v>
      </c>
      <c r="B37" s="52" t="s">
        <v>42</v>
      </c>
      <c r="C37" s="52" t="s">
        <v>43</v>
      </c>
      <c r="D37" s="52" t="s">
        <v>39</v>
      </c>
      <c r="E37" s="52" t="s">
        <v>373</v>
      </c>
      <c r="F37" s="53">
        <v>9.2</v>
      </c>
      <c r="G37" s="52">
        <v>25</v>
      </c>
      <c r="H37" s="52">
        <v>0</v>
      </c>
      <c r="I37" s="52">
        <v>5</v>
      </c>
      <c r="J37" s="54" t="b">
        <v>0</v>
      </c>
    </row>
    <row r="38" outlineLevel="2" spans="1:10">
      <c r="A38" s="55">
        <v>20</v>
      </c>
      <c r="B38" s="55" t="s">
        <v>44</v>
      </c>
      <c r="C38" s="55" t="s">
        <v>43</v>
      </c>
      <c r="D38" s="55" t="s">
        <v>39</v>
      </c>
      <c r="E38" s="55" t="s">
        <v>374</v>
      </c>
      <c r="F38" s="56">
        <v>81</v>
      </c>
      <c r="G38" s="55">
        <v>40</v>
      </c>
      <c r="H38" s="55">
        <v>0</v>
      </c>
      <c r="I38" s="55">
        <v>0</v>
      </c>
      <c r="J38" s="57" t="b">
        <v>0</v>
      </c>
    </row>
    <row r="39" outlineLevel="2" spans="1:10">
      <c r="A39" s="52">
        <v>21</v>
      </c>
      <c r="B39" s="52" t="s">
        <v>45</v>
      </c>
      <c r="C39" s="52" t="s">
        <v>43</v>
      </c>
      <c r="D39" s="52" t="s">
        <v>39</v>
      </c>
      <c r="E39" s="52" t="s">
        <v>375</v>
      </c>
      <c r="F39" s="53">
        <v>10</v>
      </c>
      <c r="G39" s="52">
        <v>3</v>
      </c>
      <c r="H39" s="52">
        <v>40</v>
      </c>
      <c r="I39" s="52">
        <v>5</v>
      </c>
      <c r="J39" s="54" t="b">
        <v>0</v>
      </c>
    </row>
    <row r="40" outlineLevel="2" spans="1:10">
      <c r="A40" s="52">
        <v>25</v>
      </c>
      <c r="B40" s="52" t="s">
        <v>52</v>
      </c>
      <c r="C40" s="52" t="s">
        <v>53</v>
      </c>
      <c r="D40" s="52" t="s">
        <v>39</v>
      </c>
      <c r="E40" s="52" t="s">
        <v>376</v>
      </c>
      <c r="F40" s="53">
        <v>14</v>
      </c>
      <c r="G40" s="52">
        <v>76</v>
      </c>
      <c r="H40" s="52">
        <v>0</v>
      </c>
      <c r="I40" s="52">
        <v>30</v>
      </c>
      <c r="J40" s="54" t="b">
        <v>0</v>
      </c>
    </row>
    <row r="41" outlineLevel="2" spans="1:10">
      <c r="A41" s="55">
        <v>26</v>
      </c>
      <c r="B41" s="55" t="s">
        <v>54</v>
      </c>
      <c r="C41" s="55" t="s">
        <v>53</v>
      </c>
      <c r="D41" s="55" t="s">
        <v>39</v>
      </c>
      <c r="E41" s="55" t="s">
        <v>377</v>
      </c>
      <c r="F41" s="56">
        <v>31.23</v>
      </c>
      <c r="G41" s="55">
        <v>15</v>
      </c>
      <c r="H41" s="55">
        <v>0</v>
      </c>
      <c r="I41" s="55">
        <v>0</v>
      </c>
      <c r="J41" s="57" t="b">
        <v>0</v>
      </c>
    </row>
    <row r="42" outlineLevel="2" spans="1:10">
      <c r="A42" s="52">
        <v>27</v>
      </c>
      <c r="B42" s="52" t="s">
        <v>55</v>
      </c>
      <c r="C42" s="52" t="s">
        <v>53</v>
      </c>
      <c r="D42" s="52" t="s">
        <v>39</v>
      </c>
      <c r="E42" s="52" t="s">
        <v>378</v>
      </c>
      <c r="F42" s="53">
        <v>43.9</v>
      </c>
      <c r="G42" s="52">
        <v>49</v>
      </c>
      <c r="H42" s="52">
        <v>0</v>
      </c>
      <c r="I42" s="52">
        <v>30</v>
      </c>
      <c r="J42" s="54" t="b">
        <v>0</v>
      </c>
    </row>
    <row r="43" outlineLevel="2" spans="1:10">
      <c r="A43" s="52">
        <v>47</v>
      </c>
      <c r="B43" s="52" t="s">
        <v>85</v>
      </c>
      <c r="C43" s="52" t="s">
        <v>86</v>
      </c>
      <c r="D43" s="52" t="s">
        <v>39</v>
      </c>
      <c r="E43" s="52" t="s">
        <v>379</v>
      </c>
      <c r="F43" s="53">
        <v>9.5</v>
      </c>
      <c r="G43" s="52">
        <v>36</v>
      </c>
      <c r="H43" s="52">
        <v>0</v>
      </c>
      <c r="I43" s="52">
        <v>0</v>
      </c>
      <c r="J43" s="54" t="b">
        <v>0</v>
      </c>
    </row>
    <row r="44" outlineLevel="2" spans="1:10">
      <c r="A44" s="55">
        <v>48</v>
      </c>
      <c r="B44" s="55" t="s">
        <v>87</v>
      </c>
      <c r="C44" s="55" t="s">
        <v>86</v>
      </c>
      <c r="D44" s="55" t="s">
        <v>39</v>
      </c>
      <c r="E44" s="55" t="s">
        <v>380</v>
      </c>
      <c r="F44" s="56">
        <v>12.75</v>
      </c>
      <c r="G44" s="55">
        <v>15</v>
      </c>
      <c r="H44" s="55">
        <v>70</v>
      </c>
      <c r="I44" s="55">
        <v>25</v>
      </c>
      <c r="J44" s="57" t="b">
        <v>0</v>
      </c>
    </row>
    <row r="45" outlineLevel="2" spans="1:10">
      <c r="A45" s="52">
        <v>49</v>
      </c>
      <c r="B45" s="52" t="s">
        <v>88</v>
      </c>
      <c r="C45" s="52" t="s">
        <v>89</v>
      </c>
      <c r="D45" s="52" t="s">
        <v>39</v>
      </c>
      <c r="E45" s="52" t="s">
        <v>381</v>
      </c>
      <c r="F45" s="53">
        <v>20</v>
      </c>
      <c r="G45" s="52">
        <v>10</v>
      </c>
      <c r="H45" s="52">
        <v>60</v>
      </c>
      <c r="I45" s="52">
        <v>15</v>
      </c>
      <c r="J45" s="54" t="b">
        <v>0</v>
      </c>
    </row>
    <row r="46" outlineLevel="2" spans="1:10">
      <c r="A46" s="55">
        <v>50</v>
      </c>
      <c r="B46" s="55" t="s">
        <v>90</v>
      </c>
      <c r="C46" s="55" t="s">
        <v>89</v>
      </c>
      <c r="D46" s="55" t="s">
        <v>39</v>
      </c>
      <c r="E46" s="55" t="s">
        <v>382</v>
      </c>
      <c r="F46" s="56">
        <v>16.25</v>
      </c>
      <c r="G46" s="55">
        <v>65</v>
      </c>
      <c r="H46" s="55">
        <v>0</v>
      </c>
      <c r="I46" s="55">
        <v>30</v>
      </c>
      <c r="J46" s="57" t="b">
        <v>0</v>
      </c>
    </row>
    <row r="47" outlineLevel="2" spans="1:10">
      <c r="A47" s="55">
        <v>62</v>
      </c>
      <c r="B47" s="55" t="s">
        <v>108</v>
      </c>
      <c r="C47" s="55" t="s">
        <v>107</v>
      </c>
      <c r="D47" s="55" t="s">
        <v>39</v>
      </c>
      <c r="E47" s="55" t="s">
        <v>383</v>
      </c>
      <c r="F47" s="56">
        <v>49.3</v>
      </c>
      <c r="G47" s="55">
        <v>17</v>
      </c>
      <c r="H47" s="55">
        <v>0</v>
      </c>
      <c r="I47" s="55">
        <v>0</v>
      </c>
      <c r="J47" s="57" t="b">
        <v>0</v>
      </c>
    </row>
    <row r="48" outlineLevel="2" spans="1:10">
      <c r="A48" s="55">
        <v>68</v>
      </c>
      <c r="B48" s="55" t="s">
        <v>114</v>
      </c>
      <c r="C48" s="55" t="s">
        <v>43</v>
      </c>
      <c r="D48" s="55" t="s">
        <v>39</v>
      </c>
      <c r="E48" s="55" t="s">
        <v>384</v>
      </c>
      <c r="F48" s="56">
        <v>12.5</v>
      </c>
      <c r="G48" s="55">
        <v>6</v>
      </c>
      <c r="H48" s="55">
        <v>10</v>
      </c>
      <c r="I48" s="55">
        <v>15</v>
      </c>
      <c r="J48" s="57" t="b">
        <v>0</v>
      </c>
    </row>
    <row r="49" outlineLevel="1" spans="1:10">
      <c r="A49" s="55"/>
      <c r="B49" s="55"/>
      <c r="C49" s="55"/>
      <c r="D49" s="58" t="s">
        <v>385</v>
      </c>
      <c r="E49" s="55"/>
      <c r="F49" s="56">
        <f>SUBTOTAL(9,F36:F48)</f>
        <v>327.08</v>
      </c>
      <c r="G49" s="55"/>
      <c r="H49" s="55"/>
      <c r="I49" s="55"/>
      <c r="J49" s="57"/>
    </row>
    <row r="50" outlineLevel="2" spans="1:10">
      <c r="A50" s="52">
        <v>11</v>
      </c>
      <c r="B50" s="52" t="s">
        <v>29</v>
      </c>
      <c r="C50" s="52" t="s">
        <v>30</v>
      </c>
      <c r="D50" s="52" t="s">
        <v>31</v>
      </c>
      <c r="E50" s="52" t="s">
        <v>386</v>
      </c>
      <c r="F50" s="53">
        <v>21</v>
      </c>
      <c r="G50" s="52">
        <v>22</v>
      </c>
      <c r="H50" s="52">
        <v>30</v>
      </c>
      <c r="I50" s="52">
        <v>30</v>
      </c>
      <c r="J50" s="54" t="b">
        <v>0</v>
      </c>
    </row>
    <row r="51" outlineLevel="2" spans="1:10">
      <c r="A51" s="55">
        <v>12</v>
      </c>
      <c r="B51" s="55" t="s">
        <v>32</v>
      </c>
      <c r="C51" s="55" t="s">
        <v>30</v>
      </c>
      <c r="D51" s="55" t="s">
        <v>31</v>
      </c>
      <c r="E51" s="55" t="s">
        <v>387</v>
      </c>
      <c r="F51" s="56">
        <v>38</v>
      </c>
      <c r="G51" s="55">
        <v>86</v>
      </c>
      <c r="H51" s="55">
        <v>0</v>
      </c>
      <c r="I51" s="55">
        <v>0</v>
      </c>
      <c r="J51" s="57" t="b">
        <v>0</v>
      </c>
    </row>
    <row r="52" outlineLevel="2" spans="1:10">
      <c r="A52" s="52">
        <v>31</v>
      </c>
      <c r="B52" s="52" t="s">
        <v>61</v>
      </c>
      <c r="C52" s="52" t="s">
        <v>62</v>
      </c>
      <c r="D52" s="52" t="s">
        <v>31</v>
      </c>
      <c r="E52" s="52" t="s">
        <v>388</v>
      </c>
      <c r="F52" s="53">
        <v>12.5</v>
      </c>
      <c r="G52" s="52">
        <v>0</v>
      </c>
      <c r="H52" s="52">
        <v>70</v>
      </c>
      <c r="I52" s="52">
        <v>20</v>
      </c>
      <c r="J52" s="54" t="b">
        <v>0</v>
      </c>
    </row>
    <row r="53" outlineLevel="2" spans="1:10">
      <c r="A53" s="55">
        <v>32</v>
      </c>
      <c r="B53" s="55" t="s">
        <v>63</v>
      </c>
      <c r="C53" s="55" t="s">
        <v>62</v>
      </c>
      <c r="D53" s="55" t="s">
        <v>31</v>
      </c>
      <c r="E53" s="55" t="s">
        <v>389</v>
      </c>
      <c r="F53" s="56">
        <v>32</v>
      </c>
      <c r="G53" s="55">
        <v>9</v>
      </c>
      <c r="H53" s="55">
        <v>40</v>
      </c>
      <c r="I53" s="55">
        <v>25</v>
      </c>
      <c r="J53" s="57" t="b">
        <v>0</v>
      </c>
    </row>
    <row r="54" outlineLevel="2" spans="1:10">
      <c r="A54" s="52">
        <v>33</v>
      </c>
      <c r="B54" s="52" t="s">
        <v>64</v>
      </c>
      <c r="C54" s="52" t="s">
        <v>65</v>
      </c>
      <c r="D54" s="52" t="s">
        <v>31</v>
      </c>
      <c r="E54" s="52" t="s">
        <v>390</v>
      </c>
      <c r="F54" s="53">
        <v>2.5</v>
      </c>
      <c r="G54" s="52">
        <v>112</v>
      </c>
      <c r="H54" s="52">
        <v>0</v>
      </c>
      <c r="I54" s="52">
        <v>20</v>
      </c>
      <c r="J54" s="54" t="b">
        <v>0</v>
      </c>
    </row>
    <row r="55" outlineLevel="2" spans="1:10">
      <c r="A55" s="52">
        <v>59</v>
      </c>
      <c r="B55" s="52" t="s">
        <v>103</v>
      </c>
      <c r="C55" s="52" t="s">
        <v>104</v>
      </c>
      <c r="D55" s="52" t="s">
        <v>31</v>
      </c>
      <c r="E55" s="52" t="s">
        <v>391</v>
      </c>
      <c r="F55" s="53">
        <v>55</v>
      </c>
      <c r="G55" s="52">
        <v>79</v>
      </c>
      <c r="H55" s="52">
        <v>0</v>
      </c>
      <c r="I55" s="52">
        <v>0</v>
      </c>
      <c r="J55" s="54" t="b">
        <v>0</v>
      </c>
    </row>
    <row r="56" outlineLevel="2" spans="1:10">
      <c r="A56" s="55">
        <v>60</v>
      </c>
      <c r="B56" s="55" t="s">
        <v>105</v>
      </c>
      <c r="C56" s="55" t="s">
        <v>104</v>
      </c>
      <c r="D56" s="55" t="s">
        <v>31</v>
      </c>
      <c r="E56" s="55" t="s">
        <v>392</v>
      </c>
      <c r="F56" s="56">
        <v>34</v>
      </c>
      <c r="G56" s="55">
        <v>19</v>
      </c>
      <c r="H56" s="55">
        <v>0</v>
      </c>
      <c r="I56" s="55">
        <v>0</v>
      </c>
      <c r="J56" s="57" t="b">
        <v>0</v>
      </c>
    </row>
    <row r="57" outlineLevel="2" spans="1:10">
      <c r="A57" s="52">
        <v>69</v>
      </c>
      <c r="B57" s="52" t="s">
        <v>115</v>
      </c>
      <c r="C57" s="52" t="s">
        <v>65</v>
      </c>
      <c r="D57" s="52" t="s">
        <v>31</v>
      </c>
      <c r="E57" s="52" t="s">
        <v>393</v>
      </c>
      <c r="F57" s="53">
        <v>36</v>
      </c>
      <c r="G57" s="52">
        <v>26</v>
      </c>
      <c r="H57" s="52">
        <v>0</v>
      </c>
      <c r="I57" s="52">
        <v>15</v>
      </c>
      <c r="J57" s="54" t="b">
        <v>0</v>
      </c>
    </row>
    <row r="58" outlineLevel="2" spans="1:10">
      <c r="A58" s="52">
        <v>71</v>
      </c>
      <c r="B58" s="52" t="s">
        <v>117</v>
      </c>
      <c r="C58" s="52" t="s">
        <v>65</v>
      </c>
      <c r="D58" s="52" t="s">
        <v>31</v>
      </c>
      <c r="E58" s="52" t="s">
        <v>387</v>
      </c>
      <c r="F58" s="53">
        <v>21.5</v>
      </c>
      <c r="G58" s="52">
        <v>26</v>
      </c>
      <c r="H58" s="52">
        <v>0</v>
      </c>
      <c r="I58" s="52">
        <v>0</v>
      </c>
      <c r="J58" s="54" t="b">
        <v>0</v>
      </c>
    </row>
    <row r="59" outlineLevel="2" spans="1:10">
      <c r="A59" s="55">
        <v>72</v>
      </c>
      <c r="B59" s="55" t="s">
        <v>118</v>
      </c>
      <c r="C59" s="55" t="s">
        <v>62</v>
      </c>
      <c r="D59" s="55" t="s">
        <v>31</v>
      </c>
      <c r="E59" s="55" t="s">
        <v>389</v>
      </c>
      <c r="F59" s="56">
        <v>34.8</v>
      </c>
      <c r="G59" s="55">
        <v>14</v>
      </c>
      <c r="H59" s="55">
        <v>0</v>
      </c>
      <c r="I59" s="55">
        <v>0</v>
      </c>
      <c r="J59" s="57" t="b">
        <v>0</v>
      </c>
    </row>
    <row r="60" ht="28.8" outlineLevel="1" spans="1:10">
      <c r="A60" s="55"/>
      <c r="B60" s="55"/>
      <c r="C60" s="55"/>
      <c r="D60" s="58" t="s">
        <v>394</v>
      </c>
      <c r="E60" s="55"/>
      <c r="F60" s="56">
        <f>SUBTOTAL(9,F50:F59)</f>
        <v>287.3</v>
      </c>
      <c r="G60" s="55"/>
      <c r="H60" s="55"/>
      <c r="I60" s="55"/>
      <c r="J60" s="57"/>
    </row>
    <row r="61" outlineLevel="2" spans="1:10">
      <c r="A61" s="55">
        <v>22</v>
      </c>
      <c r="B61" s="55" t="s">
        <v>46</v>
      </c>
      <c r="C61" s="55" t="s">
        <v>47</v>
      </c>
      <c r="D61" s="55" t="s">
        <v>48</v>
      </c>
      <c r="E61" s="55" t="s">
        <v>395</v>
      </c>
      <c r="F61" s="56">
        <v>21</v>
      </c>
      <c r="G61" s="55">
        <v>104</v>
      </c>
      <c r="H61" s="55">
        <v>0</v>
      </c>
      <c r="I61" s="55">
        <v>25</v>
      </c>
      <c r="J61" s="57" t="b">
        <v>0</v>
      </c>
    </row>
    <row r="62" outlineLevel="2" spans="1:10">
      <c r="A62" s="52">
        <v>23</v>
      </c>
      <c r="B62" s="52" t="s">
        <v>49</v>
      </c>
      <c r="C62" s="52" t="s">
        <v>47</v>
      </c>
      <c r="D62" s="52" t="s">
        <v>48</v>
      </c>
      <c r="E62" s="52" t="s">
        <v>396</v>
      </c>
      <c r="F62" s="53">
        <v>9</v>
      </c>
      <c r="G62" s="52">
        <v>61</v>
      </c>
      <c r="H62" s="52">
        <v>0</v>
      </c>
      <c r="I62" s="52">
        <v>25</v>
      </c>
      <c r="J62" s="54" t="b">
        <v>0</v>
      </c>
    </row>
    <row r="63" outlineLevel="2" spans="1:10">
      <c r="A63" s="55">
        <v>42</v>
      </c>
      <c r="B63" s="55" t="s">
        <v>78</v>
      </c>
      <c r="C63" s="55" t="s">
        <v>79</v>
      </c>
      <c r="D63" s="55" t="s">
        <v>48</v>
      </c>
      <c r="E63" s="55" t="s">
        <v>397</v>
      </c>
      <c r="F63" s="56">
        <v>14</v>
      </c>
      <c r="G63" s="55">
        <v>26</v>
      </c>
      <c r="H63" s="55">
        <v>0</v>
      </c>
      <c r="I63" s="55">
        <v>0</v>
      </c>
      <c r="J63" s="57" t="b">
        <v>1</v>
      </c>
    </row>
    <row r="64" outlineLevel="2" spans="1:10">
      <c r="A64" s="55">
        <v>52</v>
      </c>
      <c r="B64" s="55" t="s">
        <v>93</v>
      </c>
      <c r="C64" s="55" t="s">
        <v>92</v>
      </c>
      <c r="D64" s="55" t="s">
        <v>48</v>
      </c>
      <c r="E64" s="55" t="s">
        <v>398</v>
      </c>
      <c r="F64" s="56">
        <v>7</v>
      </c>
      <c r="G64" s="55">
        <v>38</v>
      </c>
      <c r="H64" s="55">
        <v>0</v>
      </c>
      <c r="I64" s="55">
        <v>25</v>
      </c>
      <c r="J64" s="57" t="b">
        <v>0</v>
      </c>
    </row>
    <row r="65" outlineLevel="2" spans="1:10">
      <c r="A65" s="55">
        <v>56</v>
      </c>
      <c r="B65" s="55" t="s">
        <v>98</v>
      </c>
      <c r="C65" s="55" t="s">
        <v>99</v>
      </c>
      <c r="D65" s="55" t="s">
        <v>48</v>
      </c>
      <c r="E65" s="55" t="s">
        <v>399</v>
      </c>
      <c r="F65" s="56">
        <v>38</v>
      </c>
      <c r="G65" s="55">
        <v>21</v>
      </c>
      <c r="H65" s="55">
        <v>10</v>
      </c>
      <c r="I65" s="55">
        <v>30</v>
      </c>
      <c r="J65" s="57" t="b">
        <v>0</v>
      </c>
    </row>
    <row r="66" outlineLevel="2" spans="1:10">
      <c r="A66" s="52">
        <v>57</v>
      </c>
      <c r="B66" s="52" t="s">
        <v>100</v>
      </c>
      <c r="C66" s="52" t="s">
        <v>99</v>
      </c>
      <c r="D66" s="52" t="s">
        <v>48</v>
      </c>
      <c r="E66" s="52" t="s">
        <v>399</v>
      </c>
      <c r="F66" s="53">
        <v>19.5</v>
      </c>
      <c r="G66" s="52">
        <v>36</v>
      </c>
      <c r="H66" s="52">
        <v>0</v>
      </c>
      <c r="I66" s="52">
        <v>20</v>
      </c>
      <c r="J66" s="54" t="b">
        <v>0</v>
      </c>
    </row>
    <row r="67" outlineLevel="2" spans="1:10">
      <c r="A67" s="55">
        <v>64</v>
      </c>
      <c r="B67" s="55" t="s">
        <v>110</v>
      </c>
      <c r="C67" s="55" t="s">
        <v>57</v>
      </c>
      <c r="D67" s="55" t="s">
        <v>48</v>
      </c>
      <c r="E67" s="55" t="s">
        <v>400</v>
      </c>
      <c r="F67" s="56">
        <v>33.25</v>
      </c>
      <c r="G67" s="55">
        <v>22</v>
      </c>
      <c r="H67" s="55">
        <v>80</v>
      </c>
      <c r="I67" s="55">
        <v>30</v>
      </c>
      <c r="J67" s="57" t="b">
        <v>0</v>
      </c>
    </row>
    <row r="68" ht="28.8" outlineLevel="1" spans="1:10">
      <c r="A68" s="55"/>
      <c r="B68" s="55"/>
      <c r="C68" s="55"/>
      <c r="D68" s="58" t="s">
        <v>401</v>
      </c>
      <c r="E68" s="55"/>
      <c r="F68" s="56">
        <f>SUBTOTAL(9,F61:F67)</f>
        <v>141.75</v>
      </c>
      <c r="G68" s="55"/>
      <c r="H68" s="55"/>
      <c r="I68" s="55"/>
      <c r="J68" s="57"/>
    </row>
    <row r="69" outlineLevel="2" spans="1:10">
      <c r="A69" s="52">
        <v>9</v>
      </c>
      <c r="B69" s="52" t="s">
        <v>24</v>
      </c>
      <c r="C69" s="52" t="s">
        <v>25</v>
      </c>
      <c r="D69" s="52" t="s">
        <v>26</v>
      </c>
      <c r="E69" s="52" t="s">
        <v>402</v>
      </c>
      <c r="F69" s="53">
        <v>97</v>
      </c>
      <c r="G69" s="52">
        <v>29</v>
      </c>
      <c r="H69" s="52">
        <v>0</v>
      </c>
      <c r="I69" s="52">
        <v>0</v>
      </c>
      <c r="J69" s="54" t="b">
        <v>1</v>
      </c>
    </row>
    <row r="70" outlineLevel="2" spans="1:10">
      <c r="A70" s="52">
        <v>17</v>
      </c>
      <c r="B70" s="52" t="s">
        <v>40</v>
      </c>
      <c r="C70" s="52" t="s">
        <v>38</v>
      </c>
      <c r="D70" s="52" t="s">
        <v>26</v>
      </c>
      <c r="E70" s="52" t="s">
        <v>403</v>
      </c>
      <c r="F70" s="53">
        <v>39</v>
      </c>
      <c r="G70" s="52">
        <v>0</v>
      </c>
      <c r="H70" s="52">
        <v>0</v>
      </c>
      <c r="I70" s="52">
        <v>0</v>
      </c>
      <c r="J70" s="54" t="b">
        <v>1</v>
      </c>
    </row>
    <row r="71" outlineLevel="2" spans="1:10">
      <c r="A71" s="52">
        <v>29</v>
      </c>
      <c r="B71" s="52" t="s">
        <v>58</v>
      </c>
      <c r="C71" s="52" t="s">
        <v>57</v>
      </c>
      <c r="D71" s="52" t="s">
        <v>26</v>
      </c>
      <c r="E71" s="52" t="s">
        <v>404</v>
      </c>
      <c r="F71" s="53">
        <v>123.79</v>
      </c>
      <c r="G71" s="52">
        <v>0</v>
      </c>
      <c r="H71" s="52">
        <v>0</v>
      </c>
      <c r="I71" s="52">
        <v>0</v>
      </c>
      <c r="J71" s="54" t="b">
        <v>1</v>
      </c>
    </row>
    <row r="72" outlineLevel="2" spans="1:10">
      <c r="A72" s="52">
        <v>53</v>
      </c>
      <c r="B72" s="52" t="s">
        <v>94</v>
      </c>
      <c r="C72" s="52" t="s">
        <v>92</v>
      </c>
      <c r="D72" s="52" t="s">
        <v>26</v>
      </c>
      <c r="E72" s="52" t="s">
        <v>405</v>
      </c>
      <c r="F72" s="53">
        <v>32.8</v>
      </c>
      <c r="G72" s="52">
        <v>0</v>
      </c>
      <c r="H72" s="52">
        <v>0</v>
      </c>
      <c r="I72" s="52">
        <v>0</v>
      </c>
      <c r="J72" s="54" t="b">
        <v>1</v>
      </c>
    </row>
    <row r="73" outlineLevel="2" spans="1:10">
      <c r="A73" s="55">
        <v>54</v>
      </c>
      <c r="B73" s="55" t="s">
        <v>95</v>
      </c>
      <c r="C73" s="55" t="s">
        <v>96</v>
      </c>
      <c r="D73" s="55" t="s">
        <v>26</v>
      </c>
      <c r="E73" s="55" t="s">
        <v>406</v>
      </c>
      <c r="F73" s="56">
        <v>7.45</v>
      </c>
      <c r="G73" s="55">
        <v>21</v>
      </c>
      <c r="H73" s="55">
        <v>0</v>
      </c>
      <c r="I73" s="55">
        <v>10</v>
      </c>
      <c r="J73" s="57" t="b">
        <v>0</v>
      </c>
    </row>
    <row r="74" outlineLevel="2" spans="1:10">
      <c r="A74" s="52">
        <v>55</v>
      </c>
      <c r="B74" s="52" t="s">
        <v>97</v>
      </c>
      <c r="C74" s="52" t="s">
        <v>96</v>
      </c>
      <c r="D74" s="52" t="s">
        <v>26</v>
      </c>
      <c r="E74" s="52" t="s">
        <v>407</v>
      </c>
      <c r="F74" s="53">
        <v>24</v>
      </c>
      <c r="G74" s="52">
        <v>115</v>
      </c>
      <c r="H74" s="52">
        <v>0</v>
      </c>
      <c r="I74" s="52">
        <v>20</v>
      </c>
      <c r="J74" s="54" t="b">
        <v>0</v>
      </c>
    </row>
    <row r="75" outlineLevel="1" spans="1:10">
      <c r="A75" s="52"/>
      <c r="B75" s="52"/>
      <c r="C75" s="52"/>
      <c r="D75" s="59" t="s">
        <v>408</v>
      </c>
      <c r="E75" s="52"/>
      <c r="F75" s="53">
        <f>SUBTOTAL(9,F69:F74)</f>
        <v>324.04</v>
      </c>
      <c r="G75" s="52"/>
      <c r="H75" s="52"/>
      <c r="I75" s="52"/>
      <c r="J75" s="54"/>
    </row>
    <row r="76" outlineLevel="2" spans="1:10">
      <c r="A76" s="52">
        <v>7</v>
      </c>
      <c r="B76" s="52" t="s">
        <v>21</v>
      </c>
      <c r="C76" s="52" t="s">
        <v>20</v>
      </c>
      <c r="D76" s="52" t="s">
        <v>22</v>
      </c>
      <c r="E76" s="52" t="s">
        <v>409</v>
      </c>
      <c r="F76" s="53">
        <v>30</v>
      </c>
      <c r="G76" s="52">
        <v>15</v>
      </c>
      <c r="H76" s="52">
        <v>0</v>
      </c>
      <c r="I76" s="52">
        <v>10</v>
      </c>
      <c r="J76" s="54" t="b">
        <v>0</v>
      </c>
    </row>
    <row r="77" outlineLevel="2" spans="1:10">
      <c r="A77" s="55">
        <v>14</v>
      </c>
      <c r="B77" s="55" t="s">
        <v>35</v>
      </c>
      <c r="C77" s="55" t="s">
        <v>34</v>
      </c>
      <c r="D77" s="55" t="s">
        <v>22</v>
      </c>
      <c r="E77" s="55" t="s">
        <v>410</v>
      </c>
      <c r="F77" s="56">
        <v>23.25</v>
      </c>
      <c r="G77" s="55">
        <v>35</v>
      </c>
      <c r="H77" s="55">
        <v>0</v>
      </c>
      <c r="I77" s="55">
        <v>0</v>
      </c>
      <c r="J77" s="57" t="b">
        <v>0</v>
      </c>
    </row>
    <row r="78" outlineLevel="2" spans="1:10">
      <c r="A78" s="55">
        <v>28</v>
      </c>
      <c r="B78" s="55" t="s">
        <v>56</v>
      </c>
      <c r="C78" s="55" t="s">
        <v>57</v>
      </c>
      <c r="D78" s="55" t="s">
        <v>22</v>
      </c>
      <c r="E78" s="55" t="s">
        <v>411</v>
      </c>
      <c r="F78" s="56">
        <v>45.6</v>
      </c>
      <c r="G78" s="55">
        <v>26</v>
      </c>
      <c r="H78" s="55">
        <v>0</v>
      </c>
      <c r="I78" s="55">
        <v>0</v>
      </c>
      <c r="J78" s="57" t="b">
        <v>1</v>
      </c>
    </row>
    <row r="79" outlineLevel="2" spans="1:10">
      <c r="A79" s="52">
        <v>51</v>
      </c>
      <c r="B79" s="52" t="s">
        <v>91</v>
      </c>
      <c r="C79" s="52" t="s">
        <v>92</v>
      </c>
      <c r="D79" s="52" t="s">
        <v>22</v>
      </c>
      <c r="E79" s="52" t="s">
        <v>412</v>
      </c>
      <c r="F79" s="53">
        <v>53</v>
      </c>
      <c r="G79" s="52">
        <v>20</v>
      </c>
      <c r="H79" s="52">
        <v>0</v>
      </c>
      <c r="I79" s="52">
        <v>10</v>
      </c>
      <c r="J79" s="54" t="b">
        <v>0</v>
      </c>
    </row>
    <row r="80" outlineLevel="2" spans="1:10">
      <c r="A80" s="55">
        <v>74</v>
      </c>
      <c r="B80" s="55" t="s">
        <v>120</v>
      </c>
      <c r="C80" s="55" t="s">
        <v>25</v>
      </c>
      <c r="D80" s="55" t="s">
        <v>22</v>
      </c>
      <c r="E80" s="55" t="s">
        <v>391</v>
      </c>
      <c r="F80" s="56">
        <v>10</v>
      </c>
      <c r="G80" s="55">
        <v>4</v>
      </c>
      <c r="H80" s="55">
        <v>20</v>
      </c>
      <c r="I80" s="55">
        <v>5</v>
      </c>
      <c r="J80" s="57" t="b">
        <v>0</v>
      </c>
    </row>
    <row r="81" outlineLevel="1" spans="1:10">
      <c r="A81" s="55"/>
      <c r="B81" s="55"/>
      <c r="C81" s="55"/>
      <c r="D81" s="58" t="s">
        <v>413</v>
      </c>
      <c r="E81" s="55"/>
      <c r="F81" s="56">
        <f>SUBTOTAL(9,F76:F80)</f>
        <v>161.85</v>
      </c>
      <c r="G81" s="55"/>
      <c r="H81" s="55"/>
      <c r="I81" s="55"/>
      <c r="J81" s="57"/>
    </row>
    <row r="82" outlineLevel="2" spans="1:10">
      <c r="A82" s="55">
        <v>10</v>
      </c>
      <c r="B82" s="55" t="s">
        <v>27</v>
      </c>
      <c r="C82" s="55" t="s">
        <v>25</v>
      </c>
      <c r="D82" s="55" t="s">
        <v>28</v>
      </c>
      <c r="E82" s="55" t="s">
        <v>414</v>
      </c>
      <c r="F82" s="56">
        <v>31</v>
      </c>
      <c r="G82" s="55">
        <v>31</v>
      </c>
      <c r="H82" s="55">
        <v>0</v>
      </c>
      <c r="I82" s="55">
        <v>0</v>
      </c>
      <c r="J82" s="57" t="b">
        <v>0</v>
      </c>
    </row>
    <row r="83" outlineLevel="2" spans="1:10">
      <c r="A83" s="52">
        <v>13</v>
      </c>
      <c r="B83" s="52" t="s">
        <v>33</v>
      </c>
      <c r="C83" s="52" t="s">
        <v>34</v>
      </c>
      <c r="D83" s="52" t="s">
        <v>28</v>
      </c>
      <c r="E83" s="52" t="s">
        <v>415</v>
      </c>
      <c r="F83" s="53">
        <v>6</v>
      </c>
      <c r="G83" s="52">
        <v>24</v>
      </c>
      <c r="H83" s="52">
        <v>0</v>
      </c>
      <c r="I83" s="52">
        <v>5</v>
      </c>
      <c r="J83" s="54" t="b">
        <v>0</v>
      </c>
    </row>
    <row r="84" outlineLevel="2" spans="1:10">
      <c r="A84" s="55">
        <v>18</v>
      </c>
      <c r="B84" s="55" t="s">
        <v>41</v>
      </c>
      <c r="C84" s="55" t="s">
        <v>38</v>
      </c>
      <c r="D84" s="55" t="s">
        <v>28</v>
      </c>
      <c r="E84" s="55" t="s">
        <v>416</v>
      </c>
      <c r="F84" s="56">
        <v>62.5</v>
      </c>
      <c r="G84" s="55">
        <v>42</v>
      </c>
      <c r="H84" s="55">
        <v>0</v>
      </c>
      <c r="I84" s="55">
        <v>0</v>
      </c>
      <c r="J84" s="57" t="b">
        <v>0</v>
      </c>
    </row>
    <row r="85" ht="28.8" outlineLevel="2" spans="1:10">
      <c r="A85" s="55">
        <v>30</v>
      </c>
      <c r="B85" s="55" t="s">
        <v>59</v>
      </c>
      <c r="C85" s="55" t="s">
        <v>60</v>
      </c>
      <c r="D85" s="55" t="s">
        <v>28</v>
      </c>
      <c r="E85" s="55" t="s">
        <v>417</v>
      </c>
      <c r="F85" s="56">
        <v>25.89</v>
      </c>
      <c r="G85" s="55">
        <v>10</v>
      </c>
      <c r="H85" s="55">
        <v>0</v>
      </c>
      <c r="I85" s="55">
        <v>15</v>
      </c>
      <c r="J85" s="57" t="b">
        <v>0</v>
      </c>
    </row>
    <row r="86" outlineLevel="2" spans="1:10">
      <c r="A86" s="55">
        <v>36</v>
      </c>
      <c r="B86" s="55" t="s">
        <v>69</v>
      </c>
      <c r="C86" s="55" t="s">
        <v>70</v>
      </c>
      <c r="D86" s="55" t="s">
        <v>28</v>
      </c>
      <c r="E86" s="55" t="s">
        <v>418</v>
      </c>
      <c r="F86" s="56">
        <v>19</v>
      </c>
      <c r="G86" s="55">
        <v>112</v>
      </c>
      <c r="H86" s="55">
        <v>0</v>
      </c>
      <c r="I86" s="55">
        <v>20</v>
      </c>
      <c r="J86" s="57" t="b">
        <v>0</v>
      </c>
    </row>
    <row r="87" outlineLevel="2" spans="1:10">
      <c r="A87" s="52">
        <v>37</v>
      </c>
      <c r="B87" s="52" t="s">
        <v>71</v>
      </c>
      <c r="C87" s="52" t="s">
        <v>70</v>
      </c>
      <c r="D87" s="52" t="s">
        <v>28</v>
      </c>
      <c r="E87" s="52" t="s">
        <v>419</v>
      </c>
      <c r="F87" s="53">
        <v>26</v>
      </c>
      <c r="G87" s="52">
        <v>11</v>
      </c>
      <c r="H87" s="52">
        <v>50</v>
      </c>
      <c r="I87" s="52">
        <v>25</v>
      </c>
      <c r="J87" s="54" t="b">
        <v>0</v>
      </c>
    </row>
    <row r="88" outlineLevel="2" spans="1:10">
      <c r="A88" s="55">
        <v>40</v>
      </c>
      <c r="B88" s="55" t="s">
        <v>75</v>
      </c>
      <c r="C88" s="55" t="s">
        <v>76</v>
      </c>
      <c r="D88" s="55" t="s">
        <v>28</v>
      </c>
      <c r="E88" s="55" t="s">
        <v>420</v>
      </c>
      <c r="F88" s="56">
        <v>18.4</v>
      </c>
      <c r="G88" s="55">
        <v>123</v>
      </c>
      <c r="H88" s="55">
        <v>0</v>
      </c>
      <c r="I88" s="55">
        <v>30</v>
      </c>
      <c r="J88" s="57" t="b">
        <v>0</v>
      </c>
    </row>
    <row r="89" outlineLevel="2" spans="1:10">
      <c r="A89" s="52">
        <v>41</v>
      </c>
      <c r="B89" s="52" t="s">
        <v>77</v>
      </c>
      <c r="C89" s="52" t="s">
        <v>76</v>
      </c>
      <c r="D89" s="52" t="s">
        <v>28</v>
      </c>
      <c r="E89" s="52" t="s">
        <v>421</v>
      </c>
      <c r="F89" s="53">
        <v>9.65</v>
      </c>
      <c r="G89" s="52">
        <v>85</v>
      </c>
      <c r="H89" s="52">
        <v>0</v>
      </c>
      <c r="I89" s="52">
        <v>10</v>
      </c>
      <c r="J89" s="54" t="b">
        <v>0</v>
      </c>
    </row>
    <row r="90" outlineLevel="2" spans="1:10">
      <c r="A90" s="52">
        <v>45</v>
      </c>
      <c r="B90" s="52" t="s">
        <v>82</v>
      </c>
      <c r="C90" s="52" t="s">
        <v>83</v>
      </c>
      <c r="D90" s="52" t="s">
        <v>28</v>
      </c>
      <c r="E90" s="52" t="s">
        <v>422</v>
      </c>
      <c r="F90" s="53">
        <v>9.5</v>
      </c>
      <c r="G90" s="52">
        <v>5</v>
      </c>
      <c r="H90" s="52">
        <v>70</v>
      </c>
      <c r="I90" s="52">
        <v>15</v>
      </c>
      <c r="J90" s="54" t="b">
        <v>0</v>
      </c>
    </row>
    <row r="91" outlineLevel="2" spans="1:10">
      <c r="A91" s="55">
        <v>46</v>
      </c>
      <c r="B91" s="55" t="s">
        <v>84</v>
      </c>
      <c r="C91" s="55" t="s">
        <v>83</v>
      </c>
      <c r="D91" s="55" t="s">
        <v>28</v>
      </c>
      <c r="E91" s="55" t="s">
        <v>423</v>
      </c>
      <c r="F91" s="56">
        <v>12</v>
      </c>
      <c r="G91" s="55">
        <v>95</v>
      </c>
      <c r="H91" s="55">
        <v>0</v>
      </c>
      <c r="I91" s="55">
        <v>0</v>
      </c>
      <c r="J91" s="57" t="b">
        <v>0</v>
      </c>
    </row>
    <row r="92" outlineLevel="2" spans="1:10">
      <c r="A92" s="55">
        <v>58</v>
      </c>
      <c r="B92" s="55" t="s">
        <v>101</v>
      </c>
      <c r="C92" s="55" t="s">
        <v>102</v>
      </c>
      <c r="D92" s="55" t="s">
        <v>28</v>
      </c>
      <c r="E92" s="55" t="s">
        <v>424</v>
      </c>
      <c r="F92" s="56">
        <v>13.25</v>
      </c>
      <c r="G92" s="55">
        <v>62</v>
      </c>
      <c r="H92" s="55">
        <v>0</v>
      </c>
      <c r="I92" s="55">
        <v>20</v>
      </c>
      <c r="J92" s="57" t="b">
        <v>0</v>
      </c>
    </row>
    <row r="93" outlineLevel="2" spans="1:10">
      <c r="A93" s="60">
        <v>73</v>
      </c>
      <c r="B93" s="60" t="s">
        <v>119</v>
      </c>
      <c r="C93" s="60" t="s">
        <v>70</v>
      </c>
      <c r="D93" s="60" t="s">
        <v>28</v>
      </c>
      <c r="E93" s="60" t="s">
        <v>425</v>
      </c>
      <c r="F93" s="61">
        <v>15</v>
      </c>
      <c r="G93" s="60">
        <v>101</v>
      </c>
      <c r="H93" s="60">
        <v>0</v>
      </c>
      <c r="I93" s="60">
        <v>5</v>
      </c>
      <c r="J93" s="62" t="b">
        <v>0</v>
      </c>
    </row>
    <row r="94" outlineLevel="1" spans="1:10">
      <c r="A94" s="63"/>
      <c r="B94" s="63"/>
      <c r="C94" s="63"/>
      <c r="D94" s="64" t="s">
        <v>426</v>
      </c>
      <c r="E94" s="63"/>
      <c r="F94" s="65">
        <f>SUBTOTAL(9,F82:F93)</f>
        <v>248.19</v>
      </c>
      <c r="G94" s="63"/>
      <c r="H94" s="63"/>
      <c r="I94" s="63"/>
      <c r="J94" s="66"/>
    </row>
    <row r="95" spans="1:10">
      <c r="A95" s="63"/>
      <c r="B95" s="63"/>
      <c r="C95" s="63"/>
      <c r="D95" s="64" t="s">
        <v>427</v>
      </c>
      <c r="E95" s="63"/>
      <c r="F95" s="65">
        <f>SUBTOTAL(9,F10:F93)</f>
        <v>2222.71</v>
      </c>
      <c r="G95" s="63"/>
      <c r="H95" s="63"/>
      <c r="I95" s="63"/>
      <c r="J95" s="66"/>
    </row>
  </sheetData>
  <sortState ref="A10:J93">
    <sortCondition ref="D10:D93"/>
  </sortState>
  <mergeCells count="1">
    <mergeCell ref="B1:G1"/>
  </mergeCells>
  <pageMargins left="0.7" right="0.7" top="0.75" bottom="0.75" header="0.3" footer="0.3"/>
  <pageSetup paperSize="1" orientation="portrait"/>
  <headerFooter/>
  <rowBreaks count="8" manualBreakCount="8">
    <brk id="22" max="16383" man="1"/>
    <brk id="35" max="16383" man="1"/>
    <brk id="49" max="16383" man="1"/>
    <brk id="60" max="16383" man="1"/>
    <brk id="68" max="16383" man="1"/>
    <brk id="75" max="16383" man="1"/>
    <brk id="81" max="16383" man="1"/>
    <brk id="95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L13" sqref="L13"/>
    </sheetView>
  </sheetViews>
  <sheetFormatPr defaultColWidth="9" defaultRowHeight="14.4"/>
  <cols>
    <col min="1" max="1" width="10.3333333333333" customWidth="1"/>
    <col min="2" max="2" width="11.3333333333333" customWidth="1"/>
    <col min="3" max="3" width="12.3333333333333" customWidth="1"/>
    <col min="4" max="4" width="11.3333333333333" customWidth="1"/>
    <col min="5" max="5" width="11.1111111111111" customWidth="1"/>
    <col min="6" max="6" width="13.8888888888889" customWidth="1"/>
    <col min="7" max="7" width="10.1111111111111" customWidth="1"/>
    <col min="8" max="8" width="10.6666666666667" customWidth="1"/>
    <col min="10" max="10" width="14.3333333333333" customWidth="1"/>
    <col min="11" max="11" width="13.3333333333333" customWidth="1"/>
    <col min="12" max="12" width="14.1111111111111" customWidth="1"/>
  </cols>
  <sheetData>
    <row r="1" ht="23.4" spans="1:12">
      <c r="B1" s="16" t="s">
        <v>428</v>
      </c>
      <c r="C1" s="16"/>
      <c r="D1" s="16"/>
      <c r="E1" s="16"/>
      <c r="F1" s="16"/>
      <c r="G1" s="16"/>
    </row>
    <row r="3" spans="1:12">
      <c r="A3" s="17" t="s">
        <v>126</v>
      </c>
      <c r="B3" s="18" t="s">
        <v>127</v>
      </c>
      <c r="C3" s="18" t="s">
        <v>128</v>
      </c>
      <c r="D3" s="18" t="s">
        <v>429</v>
      </c>
      <c r="E3" s="18" t="s">
        <v>131</v>
      </c>
      <c r="F3" s="18" t="s">
        <v>430</v>
      </c>
      <c r="G3" s="18" t="s">
        <v>431</v>
      </c>
      <c r="H3" s="19" t="s">
        <v>432</v>
      </c>
    </row>
    <row r="4" spans="1:12">
      <c r="A4" s="20">
        <v>30</v>
      </c>
      <c r="B4" s="21" t="s">
        <v>433</v>
      </c>
      <c r="C4" s="22">
        <v>38732</v>
      </c>
      <c r="D4" s="22">
        <v>38739</v>
      </c>
      <c r="E4" s="21" t="s">
        <v>434</v>
      </c>
      <c r="F4" s="23">
        <v>200</v>
      </c>
      <c r="G4" s="21" t="s">
        <v>435</v>
      </c>
      <c r="H4" s="24" t="s">
        <v>436</v>
      </c>
    </row>
    <row r="5" spans="1:12">
      <c r="A5" s="25">
        <v>31</v>
      </c>
      <c r="B5" s="26" t="s">
        <v>437</v>
      </c>
      <c r="C5" s="27">
        <v>38737</v>
      </c>
      <c r="D5" s="27">
        <v>38739</v>
      </c>
      <c r="E5" s="26" t="s">
        <v>438</v>
      </c>
      <c r="F5" s="28">
        <v>5</v>
      </c>
      <c r="G5" s="26" t="s">
        <v>439</v>
      </c>
      <c r="H5" s="29" t="s">
        <v>436</v>
      </c>
    </row>
    <row r="6" spans="1:12">
      <c r="A6" s="20">
        <v>32</v>
      </c>
      <c r="B6" s="21" t="s">
        <v>440</v>
      </c>
      <c r="C6" s="22">
        <v>38739</v>
      </c>
      <c r="D6" s="22">
        <v>38739</v>
      </c>
      <c r="E6" s="21" t="s">
        <v>434</v>
      </c>
      <c r="F6" s="23">
        <v>5</v>
      </c>
      <c r="G6" s="21" t="s">
        <v>439</v>
      </c>
      <c r="H6" s="24" t="s">
        <v>436</v>
      </c>
    </row>
    <row r="7" spans="1:12">
      <c r="A7" s="25">
        <v>33</v>
      </c>
      <c r="B7" s="26" t="s">
        <v>441</v>
      </c>
      <c r="C7" s="27">
        <v>38747</v>
      </c>
      <c r="D7" s="27">
        <v>38748</v>
      </c>
      <c r="E7" s="26" t="s">
        <v>442</v>
      </c>
      <c r="F7" s="28">
        <v>50</v>
      </c>
      <c r="G7" s="26" t="s">
        <v>439</v>
      </c>
      <c r="H7" s="29" t="s">
        <v>436</v>
      </c>
    </row>
    <row r="8" spans="1:12">
      <c r="A8" s="20">
        <v>34</v>
      </c>
      <c r="B8" s="21" t="s">
        <v>437</v>
      </c>
      <c r="C8" s="22">
        <v>38754</v>
      </c>
      <c r="D8" s="22">
        <v>38755</v>
      </c>
      <c r="E8" s="21" t="s">
        <v>442</v>
      </c>
      <c r="F8" s="23">
        <v>4</v>
      </c>
      <c r="G8" s="21" t="s">
        <v>435</v>
      </c>
      <c r="H8" s="24" t="s">
        <v>436</v>
      </c>
    </row>
    <row r="9" spans="1:12">
      <c r="A9" s="25">
        <v>35</v>
      </c>
      <c r="B9" s="26" t="s">
        <v>443</v>
      </c>
      <c r="C9" s="27">
        <v>38758</v>
      </c>
      <c r="D9" s="27">
        <v>38760</v>
      </c>
      <c r="E9" s="26" t="s">
        <v>434</v>
      </c>
      <c r="F9" s="28">
        <v>7</v>
      </c>
      <c r="G9" s="26" t="s">
        <v>435</v>
      </c>
      <c r="H9" s="29" t="s">
        <v>436</v>
      </c>
    </row>
    <row r="10" spans="1:12">
      <c r="A10" s="20">
        <v>36</v>
      </c>
      <c r="B10" s="21" t="s">
        <v>442</v>
      </c>
      <c r="C10" s="22">
        <v>38771</v>
      </c>
      <c r="D10" s="22">
        <v>38773</v>
      </c>
      <c r="E10" s="21" t="s">
        <v>434</v>
      </c>
      <c r="F10" s="23">
        <v>7</v>
      </c>
      <c r="G10" s="21" t="s">
        <v>444</v>
      </c>
      <c r="H10" s="24" t="s">
        <v>436</v>
      </c>
    </row>
    <row r="11" ht="21" spans="1:12">
      <c r="A11" s="25">
        <v>37</v>
      </c>
      <c r="B11" s="26" t="s">
        <v>445</v>
      </c>
      <c r="C11" s="27">
        <v>38782</v>
      </c>
      <c r="D11" s="27">
        <v>38785</v>
      </c>
      <c r="E11" s="26" t="s">
        <v>434</v>
      </c>
      <c r="F11" s="28">
        <v>12</v>
      </c>
      <c r="G11" s="26" t="s">
        <v>439</v>
      </c>
      <c r="H11" s="29" t="s">
        <v>436</v>
      </c>
      <c r="J11" s="34" t="s">
        <v>446</v>
      </c>
      <c r="K11" s="34" t="s">
        <v>447</v>
      </c>
      <c r="L11" s="34" t="s">
        <v>448</v>
      </c>
    </row>
    <row r="12" spans="1:12">
      <c r="A12" s="20">
        <v>38</v>
      </c>
      <c r="B12" s="21" t="s">
        <v>449</v>
      </c>
      <c r="C12" s="22">
        <v>38786</v>
      </c>
      <c r="D12" s="22">
        <v>38787</v>
      </c>
      <c r="E12" s="21" t="s">
        <v>442</v>
      </c>
      <c r="F12" s="23">
        <v>10</v>
      </c>
      <c r="G12" s="21" t="s">
        <v>435</v>
      </c>
      <c r="H12" s="24" t="s">
        <v>436</v>
      </c>
      <c r="J12" s="35" t="s">
        <v>450</v>
      </c>
      <c r="K12" s="35" t="s">
        <v>451</v>
      </c>
      <c r="L12" s="36">
        <f>DSUM(A3:H51,F3,J11:K13)</f>
        <v>1871</v>
      </c>
    </row>
    <row r="13" spans="1:12">
      <c r="A13" s="25">
        <v>39</v>
      </c>
      <c r="B13" s="26" t="s">
        <v>441</v>
      </c>
      <c r="C13" s="27">
        <v>38798</v>
      </c>
      <c r="D13" s="27">
        <v>38800</v>
      </c>
      <c r="E13" s="26" t="s">
        <v>442</v>
      </c>
      <c r="F13" s="28">
        <v>5</v>
      </c>
      <c r="G13" s="26" t="s">
        <v>435</v>
      </c>
      <c r="H13" s="29" t="s">
        <v>436</v>
      </c>
      <c r="J13" s="35" t="s">
        <v>450</v>
      </c>
      <c r="K13" s="35" t="s">
        <v>452</v>
      </c>
      <c r="L13" s="43"/>
    </row>
    <row r="14" spans="1:12">
      <c r="A14" s="20">
        <v>40</v>
      </c>
      <c r="B14" s="21" t="s">
        <v>453</v>
      </c>
      <c r="C14" s="22">
        <v>38800</v>
      </c>
      <c r="D14" s="22">
        <v>38800</v>
      </c>
      <c r="E14" s="21" t="s">
        <v>434</v>
      </c>
      <c r="F14" s="23">
        <v>9</v>
      </c>
      <c r="G14" s="21" t="s">
        <v>439</v>
      </c>
      <c r="H14" s="24" t="s">
        <v>436</v>
      </c>
      <c r="J14" s="35"/>
      <c r="K14" s="35"/>
      <c r="L14" s="44"/>
    </row>
    <row r="15" spans="1:12">
      <c r="A15" s="25">
        <v>41</v>
      </c>
      <c r="B15" s="26" t="s">
        <v>454</v>
      </c>
      <c r="C15" s="27">
        <v>38800</v>
      </c>
      <c r="D15" s="27"/>
      <c r="E15" s="26" t="s">
        <v>306</v>
      </c>
      <c r="F15" s="28">
        <v>0</v>
      </c>
      <c r="G15" s="26" t="s">
        <v>306</v>
      </c>
      <c r="H15" s="29" t="s">
        <v>455</v>
      </c>
    </row>
    <row r="16" spans="1:12">
      <c r="A16" s="20">
        <v>42</v>
      </c>
      <c r="B16" s="21" t="s">
        <v>453</v>
      </c>
      <c r="C16" s="22">
        <v>38800</v>
      </c>
      <c r="D16" s="22">
        <v>38814</v>
      </c>
      <c r="E16" s="21" t="s">
        <v>438</v>
      </c>
      <c r="F16" s="23">
        <v>0</v>
      </c>
      <c r="G16" s="21" t="s">
        <v>306</v>
      </c>
      <c r="H16" s="24" t="s">
        <v>456</v>
      </c>
    </row>
    <row r="17" spans="1:8">
      <c r="A17" s="25">
        <v>43</v>
      </c>
      <c r="B17" s="26" t="s">
        <v>457</v>
      </c>
      <c r="C17" s="27">
        <v>38800</v>
      </c>
      <c r="D17" s="27"/>
      <c r="E17" s="26" t="s">
        <v>442</v>
      </c>
      <c r="F17" s="28">
        <v>0</v>
      </c>
      <c r="G17" s="26" t="s">
        <v>306</v>
      </c>
      <c r="H17" s="29" t="s">
        <v>455</v>
      </c>
    </row>
    <row r="18" spans="1:8">
      <c r="A18" s="20">
        <v>44</v>
      </c>
      <c r="B18" s="21" t="s">
        <v>438</v>
      </c>
      <c r="C18" s="22">
        <v>38800</v>
      </c>
      <c r="D18" s="22"/>
      <c r="E18" s="21" t="s">
        <v>306</v>
      </c>
      <c r="F18" s="23">
        <v>0</v>
      </c>
      <c r="G18" s="21" t="s">
        <v>306</v>
      </c>
      <c r="H18" s="24" t="s">
        <v>455</v>
      </c>
    </row>
    <row r="19" spans="1:8">
      <c r="A19" s="25">
        <v>45</v>
      </c>
      <c r="B19" s="26" t="s">
        <v>449</v>
      </c>
      <c r="C19" s="27">
        <v>38814</v>
      </c>
      <c r="D19" s="27">
        <v>38814</v>
      </c>
      <c r="E19" s="26" t="s">
        <v>442</v>
      </c>
      <c r="F19" s="28">
        <v>40</v>
      </c>
      <c r="G19" s="26" t="s">
        <v>439</v>
      </c>
      <c r="H19" s="29" t="s">
        <v>436</v>
      </c>
    </row>
    <row r="20" spans="1:8">
      <c r="A20" s="20">
        <v>46</v>
      </c>
      <c r="B20" s="21" t="s">
        <v>458</v>
      </c>
      <c r="C20" s="22">
        <v>38812</v>
      </c>
      <c r="D20" s="22">
        <v>38812</v>
      </c>
      <c r="E20" s="21" t="s">
        <v>438</v>
      </c>
      <c r="F20" s="23">
        <v>100</v>
      </c>
      <c r="G20" s="21" t="s">
        <v>435</v>
      </c>
      <c r="H20" s="24" t="s">
        <v>436</v>
      </c>
    </row>
    <row r="21" spans="1:8">
      <c r="A21" s="25">
        <v>47</v>
      </c>
      <c r="B21" s="26" t="s">
        <v>445</v>
      </c>
      <c r="C21" s="27">
        <v>38815</v>
      </c>
      <c r="D21" s="27">
        <v>38815</v>
      </c>
      <c r="E21" s="26" t="s">
        <v>434</v>
      </c>
      <c r="F21" s="28">
        <v>300</v>
      </c>
      <c r="G21" s="26" t="s">
        <v>439</v>
      </c>
      <c r="H21" s="29" t="s">
        <v>436</v>
      </c>
    </row>
    <row r="22" spans="1:8">
      <c r="A22" s="20">
        <v>48</v>
      </c>
      <c r="B22" s="21" t="s">
        <v>441</v>
      </c>
      <c r="C22" s="22">
        <v>38812</v>
      </c>
      <c r="D22" s="22">
        <v>38812</v>
      </c>
      <c r="E22" s="21" t="s">
        <v>434</v>
      </c>
      <c r="F22" s="23">
        <v>50</v>
      </c>
      <c r="G22" s="21" t="s">
        <v>435</v>
      </c>
      <c r="H22" s="24" t="s">
        <v>436</v>
      </c>
    </row>
    <row r="23" spans="1:8">
      <c r="A23" s="25">
        <v>50</v>
      </c>
      <c r="B23" s="26" t="s">
        <v>459</v>
      </c>
      <c r="C23" s="27">
        <v>38812</v>
      </c>
      <c r="D23" s="27">
        <v>38812</v>
      </c>
      <c r="E23" s="26" t="s">
        <v>438</v>
      </c>
      <c r="F23" s="28">
        <v>5</v>
      </c>
      <c r="G23" s="26" t="s">
        <v>444</v>
      </c>
      <c r="H23" s="29" t="s">
        <v>436</v>
      </c>
    </row>
    <row r="24" spans="1:8">
      <c r="A24" s="20">
        <v>51</v>
      </c>
      <c r="B24" s="21" t="s">
        <v>460</v>
      </c>
      <c r="C24" s="22">
        <v>38812</v>
      </c>
      <c r="D24" s="22">
        <v>38812</v>
      </c>
      <c r="E24" s="21" t="s">
        <v>442</v>
      </c>
      <c r="F24" s="23">
        <v>60</v>
      </c>
      <c r="G24" s="21" t="s">
        <v>439</v>
      </c>
      <c r="H24" s="24" t="s">
        <v>436</v>
      </c>
    </row>
    <row r="25" spans="1:8">
      <c r="A25" s="25">
        <v>55</v>
      </c>
      <c r="B25" s="26" t="s">
        <v>443</v>
      </c>
      <c r="C25" s="27">
        <v>38812</v>
      </c>
      <c r="D25" s="27">
        <v>38812</v>
      </c>
      <c r="E25" s="26" t="s">
        <v>434</v>
      </c>
      <c r="F25" s="28">
        <v>200</v>
      </c>
      <c r="G25" s="26" t="s">
        <v>435</v>
      </c>
      <c r="H25" s="29" t="s">
        <v>436</v>
      </c>
    </row>
    <row r="26" spans="1:8">
      <c r="A26" s="20">
        <v>56</v>
      </c>
      <c r="B26" s="21" t="s">
        <v>445</v>
      </c>
      <c r="C26" s="22">
        <v>38810</v>
      </c>
      <c r="D26" s="22">
        <v>38810</v>
      </c>
      <c r="E26" s="21" t="s">
        <v>442</v>
      </c>
      <c r="F26" s="23">
        <v>0</v>
      </c>
      <c r="G26" s="21" t="s">
        <v>435</v>
      </c>
      <c r="H26" s="24" t="s">
        <v>436</v>
      </c>
    </row>
    <row r="27" spans="1:8">
      <c r="A27" s="25">
        <v>57</v>
      </c>
      <c r="B27" s="26" t="s">
        <v>433</v>
      </c>
      <c r="C27" s="27">
        <v>38829</v>
      </c>
      <c r="D27" s="27">
        <v>38829</v>
      </c>
      <c r="E27" s="26" t="s">
        <v>434</v>
      </c>
      <c r="F27" s="28">
        <v>200</v>
      </c>
      <c r="G27" s="26" t="s">
        <v>435</v>
      </c>
      <c r="H27" s="29" t="s">
        <v>455</v>
      </c>
    </row>
    <row r="28" spans="1:8">
      <c r="A28" s="20">
        <v>58</v>
      </c>
      <c r="B28" s="21" t="s">
        <v>437</v>
      </c>
      <c r="C28" s="22">
        <v>38829</v>
      </c>
      <c r="D28" s="22">
        <v>38829</v>
      </c>
      <c r="E28" s="21" t="s">
        <v>438</v>
      </c>
      <c r="F28" s="23">
        <v>5</v>
      </c>
      <c r="G28" s="21" t="s">
        <v>439</v>
      </c>
      <c r="H28" s="24" t="s">
        <v>436</v>
      </c>
    </row>
    <row r="29" spans="1:8">
      <c r="A29" s="25">
        <v>59</v>
      </c>
      <c r="B29" s="26" t="s">
        <v>440</v>
      </c>
      <c r="C29" s="27">
        <v>38829</v>
      </c>
      <c r="D29" s="27">
        <v>38829</v>
      </c>
      <c r="E29" s="26" t="s">
        <v>434</v>
      </c>
      <c r="F29" s="28">
        <v>5</v>
      </c>
      <c r="G29" s="26" t="s">
        <v>439</v>
      </c>
      <c r="H29" s="29" t="s">
        <v>455</v>
      </c>
    </row>
    <row r="30" spans="1:8">
      <c r="A30" s="20">
        <v>60</v>
      </c>
      <c r="B30" s="21" t="s">
        <v>441</v>
      </c>
      <c r="C30" s="22">
        <v>38837</v>
      </c>
      <c r="D30" s="22">
        <v>38837</v>
      </c>
      <c r="E30" s="21" t="s">
        <v>442</v>
      </c>
      <c r="F30" s="23">
        <v>50</v>
      </c>
      <c r="G30" s="21" t="s">
        <v>439</v>
      </c>
      <c r="H30" s="24" t="s">
        <v>436</v>
      </c>
    </row>
    <row r="31" spans="1:8">
      <c r="A31" s="25">
        <v>61</v>
      </c>
      <c r="B31" s="26" t="s">
        <v>437</v>
      </c>
      <c r="C31" s="27">
        <v>38814</v>
      </c>
      <c r="D31" s="27">
        <v>38814</v>
      </c>
      <c r="E31" s="26" t="s">
        <v>442</v>
      </c>
      <c r="F31" s="28">
        <v>4</v>
      </c>
      <c r="G31" s="26" t="s">
        <v>435</v>
      </c>
      <c r="H31" s="29" t="s">
        <v>455</v>
      </c>
    </row>
    <row r="32" spans="1:8">
      <c r="A32" s="20">
        <v>62</v>
      </c>
      <c r="B32" s="21" t="s">
        <v>443</v>
      </c>
      <c r="C32" s="22">
        <v>38819</v>
      </c>
      <c r="D32" s="22">
        <v>38819</v>
      </c>
      <c r="E32" s="21" t="s">
        <v>434</v>
      </c>
      <c r="F32" s="23">
        <v>7</v>
      </c>
      <c r="G32" s="21" t="s">
        <v>435</v>
      </c>
      <c r="H32" s="24" t="s">
        <v>455</v>
      </c>
    </row>
    <row r="33" spans="1:8">
      <c r="A33" s="25">
        <v>63</v>
      </c>
      <c r="B33" s="26" t="s">
        <v>442</v>
      </c>
      <c r="C33" s="27">
        <v>38832</v>
      </c>
      <c r="D33" s="27">
        <v>38832</v>
      </c>
      <c r="E33" s="26" t="s">
        <v>434</v>
      </c>
      <c r="F33" s="28">
        <v>7</v>
      </c>
      <c r="G33" s="26" t="s">
        <v>444</v>
      </c>
      <c r="H33" s="29" t="s">
        <v>436</v>
      </c>
    </row>
    <row r="34" spans="1:8">
      <c r="A34" s="20">
        <v>64</v>
      </c>
      <c r="B34" s="21" t="s">
        <v>445</v>
      </c>
      <c r="C34" s="22">
        <v>38846</v>
      </c>
      <c r="D34" s="22">
        <v>38846</v>
      </c>
      <c r="E34" s="21" t="s">
        <v>434</v>
      </c>
      <c r="F34" s="23">
        <v>12</v>
      </c>
      <c r="G34" s="21" t="s">
        <v>439</v>
      </c>
      <c r="H34" s="24" t="s">
        <v>455</v>
      </c>
    </row>
    <row r="35" spans="1:8">
      <c r="A35" s="25">
        <v>65</v>
      </c>
      <c r="B35" s="26" t="s">
        <v>449</v>
      </c>
      <c r="C35" s="27">
        <v>38848</v>
      </c>
      <c r="D35" s="27">
        <v>38848</v>
      </c>
      <c r="E35" s="26" t="s">
        <v>442</v>
      </c>
      <c r="F35" s="28">
        <v>10</v>
      </c>
      <c r="G35" s="26" t="s">
        <v>435</v>
      </c>
      <c r="H35" s="29" t="s">
        <v>455</v>
      </c>
    </row>
    <row r="36" spans="1:8">
      <c r="A36" s="20">
        <v>66</v>
      </c>
      <c r="B36" s="21" t="s">
        <v>441</v>
      </c>
      <c r="C36" s="22">
        <v>38861</v>
      </c>
      <c r="D36" s="22">
        <v>38861</v>
      </c>
      <c r="E36" s="21" t="s">
        <v>442</v>
      </c>
      <c r="F36" s="23">
        <v>5</v>
      </c>
      <c r="G36" s="21" t="s">
        <v>435</v>
      </c>
      <c r="H36" s="24" t="s">
        <v>455</v>
      </c>
    </row>
    <row r="37" spans="1:8">
      <c r="A37" s="25">
        <v>67</v>
      </c>
      <c r="B37" s="26" t="s">
        <v>453</v>
      </c>
      <c r="C37" s="27">
        <v>38861</v>
      </c>
      <c r="D37" s="27">
        <v>38861</v>
      </c>
      <c r="E37" s="26" t="s">
        <v>434</v>
      </c>
      <c r="F37" s="28">
        <v>9</v>
      </c>
      <c r="G37" s="26" t="s">
        <v>439</v>
      </c>
      <c r="H37" s="29" t="s">
        <v>436</v>
      </c>
    </row>
    <row r="38" spans="1:8">
      <c r="A38" s="20">
        <v>68</v>
      </c>
      <c r="B38" s="21" t="s">
        <v>454</v>
      </c>
      <c r="C38" s="22">
        <v>38861</v>
      </c>
      <c r="D38" s="22"/>
      <c r="E38" s="21" t="s">
        <v>306</v>
      </c>
      <c r="F38" s="23">
        <v>0</v>
      </c>
      <c r="G38" s="21" t="s">
        <v>306</v>
      </c>
      <c r="H38" s="24" t="s">
        <v>455</v>
      </c>
    </row>
    <row r="39" spans="1:8">
      <c r="A39" s="25">
        <v>69</v>
      </c>
      <c r="B39" s="26" t="s">
        <v>453</v>
      </c>
      <c r="C39" s="27">
        <v>38861</v>
      </c>
      <c r="D39" s="27"/>
      <c r="E39" s="26" t="s">
        <v>438</v>
      </c>
      <c r="F39" s="28">
        <v>0</v>
      </c>
      <c r="G39" s="26" t="s">
        <v>306</v>
      </c>
      <c r="H39" s="29" t="s">
        <v>455</v>
      </c>
    </row>
    <row r="40" spans="1:8">
      <c r="A40" s="20">
        <v>70</v>
      </c>
      <c r="B40" s="21" t="s">
        <v>457</v>
      </c>
      <c r="C40" s="22">
        <v>38861</v>
      </c>
      <c r="D40" s="22"/>
      <c r="E40" s="21" t="s">
        <v>442</v>
      </c>
      <c r="F40" s="23">
        <v>0</v>
      </c>
      <c r="G40" s="21" t="s">
        <v>306</v>
      </c>
      <c r="H40" s="24" t="s">
        <v>455</v>
      </c>
    </row>
    <row r="41" spans="1:8">
      <c r="A41" s="25">
        <v>71</v>
      </c>
      <c r="B41" s="26" t="s">
        <v>438</v>
      </c>
      <c r="C41" s="27">
        <v>38861</v>
      </c>
      <c r="D41" s="27"/>
      <c r="E41" s="26" t="s">
        <v>442</v>
      </c>
      <c r="F41" s="28">
        <v>0</v>
      </c>
      <c r="G41" s="26" t="s">
        <v>306</v>
      </c>
      <c r="H41" s="29" t="s">
        <v>455</v>
      </c>
    </row>
    <row r="42" spans="1:8">
      <c r="A42" s="20">
        <v>72</v>
      </c>
      <c r="B42" s="21" t="s">
        <v>449</v>
      </c>
      <c r="C42" s="22">
        <v>38875</v>
      </c>
      <c r="D42" s="22">
        <v>38875</v>
      </c>
      <c r="E42" s="21" t="s">
        <v>442</v>
      </c>
      <c r="F42" s="23">
        <v>40</v>
      </c>
      <c r="G42" s="21" t="s">
        <v>439</v>
      </c>
      <c r="H42" s="24" t="s">
        <v>436</v>
      </c>
    </row>
    <row r="43" spans="1:8">
      <c r="A43" s="25">
        <v>73</v>
      </c>
      <c r="B43" s="26" t="s">
        <v>458</v>
      </c>
      <c r="C43" s="27">
        <v>38873</v>
      </c>
      <c r="D43" s="27">
        <v>38873</v>
      </c>
      <c r="E43" s="26" t="s">
        <v>438</v>
      </c>
      <c r="F43" s="28">
        <v>100</v>
      </c>
      <c r="G43" s="26" t="s">
        <v>435</v>
      </c>
      <c r="H43" s="29" t="s">
        <v>436</v>
      </c>
    </row>
    <row r="44" spans="1:8">
      <c r="A44" s="20">
        <v>74</v>
      </c>
      <c r="B44" s="21" t="s">
        <v>445</v>
      </c>
      <c r="C44" s="22">
        <v>38876</v>
      </c>
      <c r="D44" s="22">
        <v>38876</v>
      </c>
      <c r="E44" s="21" t="s">
        <v>434</v>
      </c>
      <c r="F44" s="23">
        <v>300</v>
      </c>
      <c r="G44" s="21" t="s">
        <v>439</v>
      </c>
      <c r="H44" s="24" t="s">
        <v>436</v>
      </c>
    </row>
    <row r="45" spans="1:8">
      <c r="A45" s="25">
        <v>75</v>
      </c>
      <c r="B45" s="26" t="s">
        <v>441</v>
      </c>
      <c r="C45" s="27">
        <v>38873</v>
      </c>
      <c r="D45" s="27">
        <v>38873</v>
      </c>
      <c r="E45" s="26" t="s">
        <v>434</v>
      </c>
      <c r="F45" s="28">
        <v>50</v>
      </c>
      <c r="G45" s="26" t="s">
        <v>435</v>
      </c>
      <c r="H45" s="29" t="s">
        <v>436</v>
      </c>
    </row>
    <row r="46" spans="1:8">
      <c r="A46" s="20">
        <v>76</v>
      </c>
      <c r="B46" s="21" t="s">
        <v>459</v>
      </c>
      <c r="C46" s="22">
        <v>38873</v>
      </c>
      <c r="D46" s="22">
        <v>38873</v>
      </c>
      <c r="E46" s="21" t="s">
        <v>438</v>
      </c>
      <c r="F46" s="23">
        <v>5</v>
      </c>
      <c r="G46" s="21" t="s">
        <v>444</v>
      </c>
      <c r="H46" s="24" t="s">
        <v>436</v>
      </c>
    </row>
    <row r="47" spans="1:8">
      <c r="A47" s="25">
        <v>77</v>
      </c>
      <c r="B47" s="26" t="s">
        <v>460</v>
      </c>
      <c r="C47" s="27">
        <v>38873</v>
      </c>
      <c r="D47" s="27">
        <v>38873</v>
      </c>
      <c r="E47" s="26" t="s">
        <v>442</v>
      </c>
      <c r="F47" s="28">
        <v>60</v>
      </c>
      <c r="G47" s="26" t="s">
        <v>439</v>
      </c>
      <c r="H47" s="29" t="s">
        <v>436</v>
      </c>
    </row>
    <row r="48" spans="1:8">
      <c r="A48" s="20">
        <v>78</v>
      </c>
      <c r="B48" s="21" t="s">
        <v>443</v>
      </c>
      <c r="C48" s="22">
        <v>38873</v>
      </c>
      <c r="D48" s="22">
        <v>38873</v>
      </c>
      <c r="E48" s="21" t="s">
        <v>434</v>
      </c>
      <c r="F48" s="23">
        <v>200</v>
      </c>
      <c r="G48" s="21" t="s">
        <v>435</v>
      </c>
      <c r="H48" s="24" t="s">
        <v>436</v>
      </c>
    </row>
    <row r="49" spans="1:8">
      <c r="A49" s="25">
        <v>79</v>
      </c>
      <c r="B49" s="26" t="s">
        <v>445</v>
      </c>
      <c r="C49" s="27">
        <v>38891</v>
      </c>
      <c r="D49" s="27">
        <v>38891</v>
      </c>
      <c r="E49" s="26" t="s">
        <v>442</v>
      </c>
      <c r="F49" s="28">
        <v>0</v>
      </c>
      <c r="G49" s="26" t="s">
        <v>435</v>
      </c>
      <c r="H49" s="29" t="s">
        <v>436</v>
      </c>
    </row>
    <row r="50" spans="1:8">
      <c r="A50" s="20">
        <v>80</v>
      </c>
      <c r="B50" s="21" t="s">
        <v>437</v>
      </c>
      <c r="C50" s="22">
        <v>38832.7110532407</v>
      </c>
      <c r="D50" s="22"/>
      <c r="E50" s="21" t="s">
        <v>306</v>
      </c>
      <c r="F50" s="23">
        <v>0</v>
      </c>
      <c r="G50" s="21" t="s">
        <v>306</v>
      </c>
      <c r="H50" s="24" t="s">
        <v>455</v>
      </c>
    </row>
    <row r="51" spans="1:8">
      <c r="A51" s="38">
        <v>81</v>
      </c>
      <c r="B51" s="39" t="s">
        <v>442</v>
      </c>
      <c r="C51" s="40">
        <v>38832.7270023148</v>
      </c>
      <c r="D51" s="40"/>
      <c r="E51" s="39" t="s">
        <v>306</v>
      </c>
      <c r="F51" s="41">
        <v>0</v>
      </c>
      <c r="G51" s="39" t="s">
        <v>306</v>
      </c>
      <c r="H51" s="42" t="s">
        <v>455</v>
      </c>
    </row>
  </sheetData>
  <mergeCells count="1">
    <mergeCell ref="B1:G1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L3" sqref="L3"/>
    </sheetView>
  </sheetViews>
  <sheetFormatPr defaultColWidth="9" defaultRowHeight="14.4"/>
  <cols>
    <col min="1" max="1" width="10.3333333333333" customWidth="1"/>
    <col min="2" max="2" width="11.3333333333333" customWidth="1"/>
    <col min="3" max="3" width="12.3333333333333" customWidth="1"/>
    <col min="4" max="4" width="11.3333333333333" customWidth="1"/>
    <col min="5" max="5" width="11.1111111111111" customWidth="1"/>
    <col min="6" max="6" width="13.8888888888889" customWidth="1"/>
    <col min="7" max="7" width="10.1111111111111" customWidth="1"/>
    <col min="8" max="8" width="10.6666666666667" customWidth="1"/>
    <col min="10" max="10" width="14.3333333333333" customWidth="1"/>
    <col min="11" max="11" width="13.3333333333333" customWidth="1"/>
    <col min="12" max="12" width="20.6666666666667" customWidth="1"/>
  </cols>
  <sheetData>
    <row r="1" ht="23.4" spans="1:12">
      <c r="B1" s="16" t="s">
        <v>461</v>
      </c>
      <c r="C1" s="16"/>
      <c r="D1" s="16"/>
      <c r="E1" s="16"/>
      <c r="F1" s="16"/>
      <c r="G1" s="16"/>
    </row>
    <row r="3" spans="1:12">
      <c r="A3" s="17" t="s">
        <v>126</v>
      </c>
      <c r="B3" s="18" t="s">
        <v>127</v>
      </c>
      <c r="C3" s="18" t="s">
        <v>128</v>
      </c>
      <c r="D3" s="18" t="s">
        <v>429</v>
      </c>
      <c r="E3" s="18" t="s">
        <v>131</v>
      </c>
      <c r="F3" s="18" t="s">
        <v>430</v>
      </c>
      <c r="G3" s="18" t="s">
        <v>431</v>
      </c>
      <c r="H3" s="19" t="s">
        <v>432</v>
      </c>
    </row>
    <row r="4" spans="1:12">
      <c r="A4" s="20">
        <v>30</v>
      </c>
      <c r="B4" s="21" t="s">
        <v>433</v>
      </c>
      <c r="C4" s="22">
        <v>38732</v>
      </c>
      <c r="D4" s="22">
        <v>38739</v>
      </c>
      <c r="E4" s="21" t="s">
        <v>434</v>
      </c>
      <c r="F4" s="23">
        <v>200</v>
      </c>
      <c r="G4" s="21" t="s">
        <v>435</v>
      </c>
      <c r="H4" s="24" t="s">
        <v>436</v>
      </c>
    </row>
    <row r="5" spans="1:12">
      <c r="A5" s="25">
        <v>31</v>
      </c>
      <c r="B5" s="26" t="s">
        <v>437</v>
      </c>
      <c r="C5" s="27">
        <v>38737</v>
      </c>
      <c r="D5" s="27">
        <v>38739</v>
      </c>
      <c r="E5" s="26" t="s">
        <v>438</v>
      </c>
      <c r="F5" s="28">
        <v>5</v>
      </c>
      <c r="G5" s="26" t="s">
        <v>439</v>
      </c>
      <c r="H5" s="29" t="s">
        <v>436</v>
      </c>
    </row>
    <row r="6" spans="1:12">
      <c r="A6" s="20">
        <v>32</v>
      </c>
      <c r="B6" s="21" t="s">
        <v>440</v>
      </c>
      <c r="C6" s="22">
        <v>38739</v>
      </c>
      <c r="D6" s="22">
        <v>38739</v>
      </c>
      <c r="E6" s="21" t="s">
        <v>434</v>
      </c>
      <c r="F6" s="23">
        <v>5</v>
      </c>
      <c r="G6" s="21" t="s">
        <v>439</v>
      </c>
      <c r="H6" s="24" t="s">
        <v>436</v>
      </c>
    </row>
    <row r="7" spans="1:12">
      <c r="A7" s="25">
        <v>33</v>
      </c>
      <c r="B7" s="26" t="s">
        <v>441</v>
      </c>
      <c r="C7" s="27">
        <v>38747</v>
      </c>
      <c r="D7" s="27">
        <v>38748</v>
      </c>
      <c r="E7" s="26" t="s">
        <v>442</v>
      </c>
      <c r="F7" s="28">
        <v>50</v>
      </c>
      <c r="G7" s="26" t="s">
        <v>439</v>
      </c>
      <c r="H7" s="29" t="s">
        <v>436</v>
      </c>
    </row>
    <row r="8" spans="1:12">
      <c r="A8" s="20">
        <v>34</v>
      </c>
      <c r="B8" s="21" t="s">
        <v>437</v>
      </c>
      <c r="C8" s="22">
        <v>38754</v>
      </c>
      <c r="D8" s="22">
        <v>38755</v>
      </c>
      <c r="E8" s="21" t="s">
        <v>442</v>
      </c>
      <c r="F8" s="23">
        <v>4</v>
      </c>
      <c r="G8" s="21" t="s">
        <v>435</v>
      </c>
      <c r="H8" s="24" t="s">
        <v>436</v>
      </c>
    </row>
    <row r="9" spans="1:12">
      <c r="A9" s="25">
        <v>35</v>
      </c>
      <c r="B9" s="26" t="s">
        <v>443</v>
      </c>
      <c r="C9" s="27">
        <v>38758</v>
      </c>
      <c r="D9" s="27">
        <v>38760</v>
      </c>
      <c r="E9" s="26" t="s">
        <v>434</v>
      </c>
      <c r="F9" s="28">
        <v>7</v>
      </c>
      <c r="G9" s="26" t="s">
        <v>435</v>
      </c>
      <c r="H9" s="29" t="s">
        <v>436</v>
      </c>
    </row>
    <row r="10" spans="1:12">
      <c r="A10" s="20">
        <v>36</v>
      </c>
      <c r="B10" s="21" t="s">
        <v>442</v>
      </c>
      <c r="C10" s="22">
        <v>38771</v>
      </c>
      <c r="D10" s="22">
        <v>38773</v>
      </c>
      <c r="E10" s="21" t="s">
        <v>434</v>
      </c>
      <c r="F10" s="23">
        <v>7</v>
      </c>
      <c r="G10" s="21" t="s">
        <v>444</v>
      </c>
      <c r="H10" s="24" t="s">
        <v>436</v>
      </c>
    </row>
    <row r="11" ht="21" spans="1:12">
      <c r="A11" s="25">
        <v>37</v>
      </c>
      <c r="B11" s="26" t="s">
        <v>445</v>
      </c>
      <c r="C11" s="27">
        <v>38782</v>
      </c>
      <c r="D11" s="27">
        <v>38785</v>
      </c>
      <c r="E11" s="26" t="s">
        <v>434</v>
      </c>
      <c r="F11" s="28">
        <v>12</v>
      </c>
      <c r="G11" s="26" t="s">
        <v>439</v>
      </c>
      <c r="H11" s="29" t="s">
        <v>436</v>
      </c>
      <c r="J11" s="34" t="s">
        <v>446</v>
      </c>
      <c r="K11" s="34" t="s">
        <v>447</v>
      </c>
      <c r="L11" s="34" t="s">
        <v>462</v>
      </c>
    </row>
    <row r="12" spans="1:12">
      <c r="A12" s="20">
        <v>38</v>
      </c>
      <c r="B12" s="21" t="s">
        <v>449</v>
      </c>
      <c r="C12" s="22">
        <v>38786</v>
      </c>
      <c r="D12" s="22">
        <v>38787</v>
      </c>
      <c r="E12" s="21" t="s">
        <v>442</v>
      </c>
      <c r="F12" s="23">
        <v>10</v>
      </c>
      <c r="G12" s="21" t="s">
        <v>435</v>
      </c>
      <c r="H12" s="24" t="s">
        <v>436</v>
      </c>
      <c r="J12" s="35" t="s">
        <v>450</v>
      </c>
      <c r="K12" s="35" t="s">
        <v>451</v>
      </c>
      <c r="L12" s="36">
        <f>DAVERAGE(A3:H51,F3,J11:K12)</f>
        <v>67.5</v>
      </c>
    </row>
    <row r="13" spans="1:12">
      <c r="A13" s="25">
        <v>39</v>
      </c>
      <c r="B13" s="26" t="s">
        <v>441</v>
      </c>
      <c r="C13" s="27">
        <v>38798</v>
      </c>
      <c r="D13" s="27">
        <v>38800</v>
      </c>
      <c r="E13" s="26" t="s">
        <v>442</v>
      </c>
      <c r="F13" s="28">
        <v>5</v>
      </c>
      <c r="G13" s="26" t="s">
        <v>435</v>
      </c>
      <c r="H13" s="29" t="s">
        <v>436</v>
      </c>
    </row>
    <row r="14" ht="21" spans="1:12">
      <c r="A14" s="20">
        <v>40</v>
      </c>
      <c r="B14" s="21" t="s">
        <v>453</v>
      </c>
      <c r="C14" s="22">
        <v>38800</v>
      </c>
      <c r="D14" s="22">
        <v>38800</v>
      </c>
      <c r="E14" s="21" t="s">
        <v>434</v>
      </c>
      <c r="F14" s="23">
        <v>9</v>
      </c>
      <c r="G14" s="21" t="s">
        <v>439</v>
      </c>
      <c r="H14" s="24" t="s">
        <v>436</v>
      </c>
      <c r="K14" s="34" t="s">
        <v>446</v>
      </c>
      <c r="L14" s="34" t="s">
        <v>463</v>
      </c>
    </row>
    <row r="15" spans="1:12">
      <c r="A15" s="25">
        <v>41</v>
      </c>
      <c r="B15" s="26" t="s">
        <v>454</v>
      </c>
      <c r="C15" s="27">
        <v>38800</v>
      </c>
      <c r="D15" s="27"/>
      <c r="E15" s="26" t="s">
        <v>306</v>
      </c>
      <c r="F15" s="28">
        <v>0</v>
      </c>
      <c r="G15" s="26" t="s">
        <v>306</v>
      </c>
      <c r="H15" s="29" t="s">
        <v>455</v>
      </c>
      <c r="K15" s="35" t="s">
        <v>450</v>
      </c>
      <c r="L15" s="37">
        <f>DCOUNT(A3:H51,F3,K14:K15)</f>
        <v>31</v>
      </c>
    </row>
    <row r="16" spans="1:12">
      <c r="A16" s="20">
        <v>42</v>
      </c>
      <c r="B16" s="21" t="s">
        <v>453</v>
      </c>
      <c r="C16" s="22">
        <v>38800</v>
      </c>
      <c r="D16" s="22">
        <v>38814</v>
      </c>
      <c r="E16" s="21" t="s">
        <v>438</v>
      </c>
      <c r="F16" s="23">
        <v>0</v>
      </c>
      <c r="G16" s="21" t="s">
        <v>306</v>
      </c>
      <c r="H16" s="24" t="s">
        <v>456</v>
      </c>
    </row>
    <row r="17" spans="1:8">
      <c r="A17" s="25">
        <v>43</v>
      </c>
      <c r="B17" s="26" t="s">
        <v>457</v>
      </c>
      <c r="C17" s="27">
        <v>38800</v>
      </c>
      <c r="D17" s="27"/>
      <c r="E17" s="26" t="s">
        <v>442</v>
      </c>
      <c r="F17" s="28">
        <v>0</v>
      </c>
      <c r="G17" s="26" t="s">
        <v>306</v>
      </c>
      <c r="H17" s="29" t="s">
        <v>455</v>
      </c>
    </row>
    <row r="18" spans="1:8">
      <c r="A18" s="20">
        <v>44</v>
      </c>
      <c r="B18" s="21" t="s">
        <v>438</v>
      </c>
      <c r="C18" s="22">
        <v>38800</v>
      </c>
      <c r="D18" s="22"/>
      <c r="E18" s="21" t="s">
        <v>306</v>
      </c>
      <c r="F18" s="23">
        <v>0</v>
      </c>
      <c r="G18" s="21" t="s">
        <v>306</v>
      </c>
      <c r="H18" s="24" t="s">
        <v>455</v>
      </c>
    </row>
    <row r="19" spans="1:8">
      <c r="A19" s="25">
        <v>45</v>
      </c>
      <c r="B19" s="26" t="s">
        <v>449</v>
      </c>
      <c r="C19" s="27">
        <v>38814</v>
      </c>
      <c r="D19" s="27">
        <v>38814</v>
      </c>
      <c r="E19" s="26" t="s">
        <v>442</v>
      </c>
      <c r="F19" s="28">
        <v>40</v>
      </c>
      <c r="G19" s="26" t="s">
        <v>439</v>
      </c>
      <c r="H19" s="29" t="s">
        <v>436</v>
      </c>
    </row>
    <row r="20" spans="1:8">
      <c r="A20" s="20">
        <v>46</v>
      </c>
      <c r="B20" s="21" t="s">
        <v>458</v>
      </c>
      <c r="C20" s="22">
        <v>38812</v>
      </c>
      <c r="D20" s="22">
        <v>38812</v>
      </c>
      <c r="E20" s="21" t="s">
        <v>438</v>
      </c>
      <c r="F20" s="23">
        <v>100</v>
      </c>
      <c r="G20" s="21" t="s">
        <v>435</v>
      </c>
      <c r="H20" s="24" t="s">
        <v>436</v>
      </c>
    </row>
    <row r="21" spans="1:8">
      <c r="A21" s="25">
        <v>47</v>
      </c>
      <c r="B21" s="26" t="s">
        <v>445</v>
      </c>
      <c r="C21" s="27">
        <v>38815</v>
      </c>
      <c r="D21" s="27">
        <v>38815</v>
      </c>
      <c r="E21" s="26" t="s">
        <v>434</v>
      </c>
      <c r="F21" s="28">
        <v>300</v>
      </c>
      <c r="G21" s="26" t="s">
        <v>439</v>
      </c>
      <c r="H21" s="29" t="s">
        <v>436</v>
      </c>
    </row>
    <row r="22" spans="1:8">
      <c r="A22" s="20">
        <v>48</v>
      </c>
      <c r="B22" s="21" t="s">
        <v>441</v>
      </c>
      <c r="C22" s="22">
        <v>38812</v>
      </c>
      <c r="D22" s="22">
        <v>38812</v>
      </c>
      <c r="E22" s="21" t="s">
        <v>434</v>
      </c>
      <c r="F22" s="23">
        <v>50</v>
      </c>
      <c r="G22" s="21" t="s">
        <v>435</v>
      </c>
      <c r="H22" s="24" t="s">
        <v>436</v>
      </c>
    </row>
    <row r="23" spans="1:8">
      <c r="A23" s="25">
        <v>50</v>
      </c>
      <c r="B23" s="26" t="s">
        <v>459</v>
      </c>
      <c r="C23" s="27">
        <v>38812</v>
      </c>
      <c r="D23" s="27">
        <v>38812</v>
      </c>
      <c r="E23" s="26" t="s">
        <v>438</v>
      </c>
      <c r="F23" s="28">
        <v>5</v>
      </c>
      <c r="G23" s="26" t="s">
        <v>444</v>
      </c>
      <c r="H23" s="29" t="s">
        <v>436</v>
      </c>
    </row>
    <row r="24" spans="1:8">
      <c r="A24" s="20">
        <v>51</v>
      </c>
      <c r="B24" s="21" t="s">
        <v>460</v>
      </c>
      <c r="C24" s="22">
        <v>38812</v>
      </c>
      <c r="D24" s="22">
        <v>38812</v>
      </c>
      <c r="E24" s="21" t="s">
        <v>442</v>
      </c>
      <c r="F24" s="23">
        <v>60</v>
      </c>
      <c r="G24" s="21" t="s">
        <v>439</v>
      </c>
      <c r="H24" s="24" t="s">
        <v>436</v>
      </c>
    </row>
    <row r="25" spans="1:8">
      <c r="A25" s="25">
        <v>55</v>
      </c>
      <c r="B25" s="26" t="s">
        <v>443</v>
      </c>
      <c r="C25" s="27">
        <v>38812</v>
      </c>
      <c r="D25" s="27">
        <v>38812</v>
      </c>
      <c r="E25" s="26" t="s">
        <v>434</v>
      </c>
      <c r="F25" s="28">
        <v>200</v>
      </c>
      <c r="G25" s="26" t="s">
        <v>435</v>
      </c>
      <c r="H25" s="29" t="s">
        <v>436</v>
      </c>
    </row>
    <row r="26" spans="1:8">
      <c r="A26" s="20">
        <v>56</v>
      </c>
      <c r="B26" s="21" t="s">
        <v>445</v>
      </c>
      <c r="C26" s="22">
        <v>38810</v>
      </c>
      <c r="D26" s="22">
        <v>38810</v>
      </c>
      <c r="E26" s="21" t="s">
        <v>442</v>
      </c>
      <c r="F26" s="23">
        <v>0</v>
      </c>
      <c r="G26" s="21" t="s">
        <v>435</v>
      </c>
      <c r="H26" s="24" t="s">
        <v>436</v>
      </c>
    </row>
    <row r="27" spans="1:8">
      <c r="A27" s="25">
        <v>57</v>
      </c>
      <c r="B27" s="26" t="s">
        <v>433</v>
      </c>
      <c r="C27" s="27">
        <v>38829</v>
      </c>
      <c r="D27" s="27">
        <v>38829</v>
      </c>
      <c r="E27" s="26" t="s">
        <v>434</v>
      </c>
      <c r="F27" s="28">
        <v>200</v>
      </c>
      <c r="G27" s="26" t="s">
        <v>435</v>
      </c>
      <c r="H27" s="29" t="s">
        <v>455</v>
      </c>
    </row>
    <row r="28" spans="1:8">
      <c r="A28" s="20">
        <v>58</v>
      </c>
      <c r="B28" s="21" t="s">
        <v>437</v>
      </c>
      <c r="C28" s="22">
        <v>38829</v>
      </c>
      <c r="D28" s="22">
        <v>38829</v>
      </c>
      <c r="E28" s="21" t="s">
        <v>438</v>
      </c>
      <c r="F28" s="23">
        <v>5</v>
      </c>
      <c r="G28" s="21" t="s">
        <v>439</v>
      </c>
      <c r="H28" s="24" t="s">
        <v>436</v>
      </c>
    </row>
    <row r="29" spans="1:8">
      <c r="A29" s="25">
        <v>59</v>
      </c>
      <c r="B29" s="26" t="s">
        <v>440</v>
      </c>
      <c r="C29" s="27">
        <v>38829</v>
      </c>
      <c r="D29" s="27">
        <v>38829</v>
      </c>
      <c r="E29" s="26" t="s">
        <v>434</v>
      </c>
      <c r="F29" s="28">
        <v>5</v>
      </c>
      <c r="G29" s="26" t="s">
        <v>439</v>
      </c>
      <c r="H29" s="29" t="s">
        <v>455</v>
      </c>
    </row>
    <row r="30" spans="1:8">
      <c r="A30" s="20">
        <v>60</v>
      </c>
      <c r="B30" s="21" t="s">
        <v>441</v>
      </c>
      <c r="C30" s="22">
        <v>38837</v>
      </c>
      <c r="D30" s="22">
        <v>38837</v>
      </c>
      <c r="E30" s="21" t="s">
        <v>442</v>
      </c>
      <c r="F30" s="23">
        <v>50</v>
      </c>
      <c r="G30" s="21" t="s">
        <v>439</v>
      </c>
      <c r="H30" s="24" t="s">
        <v>436</v>
      </c>
    </row>
    <row r="31" spans="1:8">
      <c r="A31" s="25">
        <v>61</v>
      </c>
      <c r="B31" s="26" t="s">
        <v>437</v>
      </c>
      <c r="C31" s="27">
        <v>38814</v>
      </c>
      <c r="D31" s="27">
        <v>38814</v>
      </c>
      <c r="E31" s="26" t="s">
        <v>442</v>
      </c>
      <c r="F31" s="28">
        <v>4</v>
      </c>
      <c r="G31" s="26" t="s">
        <v>435</v>
      </c>
      <c r="H31" s="29" t="s">
        <v>455</v>
      </c>
    </row>
    <row r="32" spans="1:8">
      <c r="A32" s="20">
        <v>62</v>
      </c>
      <c r="B32" s="21" t="s">
        <v>443</v>
      </c>
      <c r="C32" s="22">
        <v>38819</v>
      </c>
      <c r="D32" s="22">
        <v>38819</v>
      </c>
      <c r="E32" s="21" t="s">
        <v>434</v>
      </c>
      <c r="F32" s="23">
        <v>7</v>
      </c>
      <c r="G32" s="21" t="s">
        <v>435</v>
      </c>
      <c r="H32" s="24" t="s">
        <v>455</v>
      </c>
    </row>
    <row r="33" spans="1:8">
      <c r="A33" s="25">
        <v>63</v>
      </c>
      <c r="B33" s="26" t="s">
        <v>442</v>
      </c>
      <c r="C33" s="27">
        <v>38832</v>
      </c>
      <c r="D33" s="27">
        <v>38832</v>
      </c>
      <c r="E33" s="26" t="s">
        <v>434</v>
      </c>
      <c r="F33" s="28">
        <v>7</v>
      </c>
      <c r="G33" s="26" t="s">
        <v>444</v>
      </c>
      <c r="H33" s="29" t="s">
        <v>436</v>
      </c>
    </row>
    <row r="34" spans="1:8">
      <c r="A34" s="20">
        <v>64</v>
      </c>
      <c r="B34" s="21" t="s">
        <v>445</v>
      </c>
      <c r="C34" s="22">
        <v>38846</v>
      </c>
      <c r="D34" s="22">
        <v>38846</v>
      </c>
      <c r="E34" s="21" t="s">
        <v>434</v>
      </c>
      <c r="F34" s="23">
        <v>12</v>
      </c>
      <c r="G34" s="21" t="s">
        <v>439</v>
      </c>
      <c r="H34" s="24" t="s">
        <v>455</v>
      </c>
    </row>
    <row r="35" spans="1:8">
      <c r="A35" s="25">
        <v>65</v>
      </c>
      <c r="B35" s="26" t="s">
        <v>449</v>
      </c>
      <c r="C35" s="27">
        <v>38848</v>
      </c>
      <c r="D35" s="27">
        <v>38848</v>
      </c>
      <c r="E35" s="26" t="s">
        <v>442</v>
      </c>
      <c r="F35" s="28">
        <v>10</v>
      </c>
      <c r="G35" s="26" t="s">
        <v>435</v>
      </c>
      <c r="H35" s="29" t="s">
        <v>455</v>
      </c>
    </row>
    <row r="36" spans="1:8">
      <c r="A36" s="20">
        <v>66</v>
      </c>
      <c r="B36" s="21" t="s">
        <v>441</v>
      </c>
      <c r="C36" s="22">
        <v>38861</v>
      </c>
      <c r="D36" s="22">
        <v>38861</v>
      </c>
      <c r="E36" s="21" t="s">
        <v>442</v>
      </c>
      <c r="F36" s="23">
        <v>5</v>
      </c>
      <c r="G36" s="21" t="s">
        <v>435</v>
      </c>
      <c r="H36" s="24" t="s">
        <v>455</v>
      </c>
    </row>
    <row r="37" spans="1:8">
      <c r="A37" s="25">
        <v>67</v>
      </c>
      <c r="B37" s="26" t="s">
        <v>453</v>
      </c>
      <c r="C37" s="27">
        <v>38861</v>
      </c>
      <c r="D37" s="27">
        <v>38861</v>
      </c>
      <c r="E37" s="26" t="s">
        <v>434</v>
      </c>
      <c r="F37" s="28">
        <v>9</v>
      </c>
      <c r="G37" s="26" t="s">
        <v>439</v>
      </c>
      <c r="H37" s="29" t="s">
        <v>436</v>
      </c>
    </row>
    <row r="38" spans="1:8">
      <c r="A38" s="20">
        <v>68</v>
      </c>
      <c r="B38" s="21" t="s">
        <v>454</v>
      </c>
      <c r="C38" s="22">
        <v>38861</v>
      </c>
      <c r="D38" s="22"/>
      <c r="E38" s="21" t="s">
        <v>306</v>
      </c>
      <c r="F38" s="23">
        <v>0</v>
      </c>
      <c r="G38" s="21" t="s">
        <v>306</v>
      </c>
      <c r="H38" s="24" t="s">
        <v>455</v>
      </c>
    </row>
    <row r="39" spans="1:8">
      <c r="A39" s="25">
        <v>69</v>
      </c>
      <c r="B39" s="26" t="s">
        <v>453</v>
      </c>
      <c r="C39" s="27">
        <v>38861</v>
      </c>
      <c r="D39" s="27"/>
      <c r="E39" s="26" t="s">
        <v>438</v>
      </c>
      <c r="F39" s="28">
        <v>0</v>
      </c>
      <c r="G39" s="26" t="s">
        <v>306</v>
      </c>
      <c r="H39" s="29" t="s">
        <v>455</v>
      </c>
    </row>
    <row r="40" spans="1:8">
      <c r="A40" s="20">
        <v>70</v>
      </c>
      <c r="B40" s="21" t="s">
        <v>457</v>
      </c>
      <c r="C40" s="22">
        <v>38861</v>
      </c>
      <c r="D40" s="22"/>
      <c r="E40" s="21" t="s">
        <v>442</v>
      </c>
      <c r="F40" s="23">
        <v>0</v>
      </c>
      <c r="G40" s="21" t="s">
        <v>306</v>
      </c>
      <c r="H40" s="24" t="s">
        <v>455</v>
      </c>
    </row>
    <row r="41" spans="1:8">
      <c r="A41" s="25">
        <v>71</v>
      </c>
      <c r="B41" s="26" t="s">
        <v>438</v>
      </c>
      <c r="C41" s="27">
        <v>38861</v>
      </c>
      <c r="D41" s="27"/>
      <c r="E41" s="26" t="s">
        <v>442</v>
      </c>
      <c r="F41" s="28">
        <v>0</v>
      </c>
      <c r="G41" s="26" t="s">
        <v>306</v>
      </c>
      <c r="H41" s="29" t="s">
        <v>455</v>
      </c>
    </row>
    <row r="42" spans="1:8">
      <c r="A42" s="20">
        <v>72</v>
      </c>
      <c r="B42" s="21" t="s">
        <v>449</v>
      </c>
      <c r="C42" s="22">
        <v>38875</v>
      </c>
      <c r="D42" s="22">
        <v>38875</v>
      </c>
      <c r="E42" s="21" t="s">
        <v>442</v>
      </c>
      <c r="F42" s="23">
        <v>40</v>
      </c>
      <c r="G42" s="21" t="s">
        <v>439</v>
      </c>
      <c r="H42" s="24" t="s">
        <v>436</v>
      </c>
    </row>
    <row r="43" spans="1:8">
      <c r="A43" s="25">
        <v>73</v>
      </c>
      <c r="B43" s="26" t="s">
        <v>458</v>
      </c>
      <c r="C43" s="27">
        <v>38873</v>
      </c>
      <c r="D43" s="27">
        <v>38873</v>
      </c>
      <c r="E43" s="26" t="s">
        <v>438</v>
      </c>
      <c r="F43" s="28">
        <v>100</v>
      </c>
      <c r="G43" s="26" t="s">
        <v>435</v>
      </c>
      <c r="H43" s="29" t="s">
        <v>436</v>
      </c>
    </row>
    <row r="44" spans="1:8">
      <c r="A44" s="20">
        <v>74</v>
      </c>
      <c r="B44" s="21" t="s">
        <v>445</v>
      </c>
      <c r="C44" s="22">
        <v>38876</v>
      </c>
      <c r="D44" s="22">
        <v>38876</v>
      </c>
      <c r="E44" s="21" t="s">
        <v>434</v>
      </c>
      <c r="F44" s="23">
        <v>300</v>
      </c>
      <c r="G44" s="21" t="s">
        <v>439</v>
      </c>
      <c r="H44" s="24" t="s">
        <v>436</v>
      </c>
    </row>
    <row r="45" spans="1:8">
      <c r="A45" s="25">
        <v>75</v>
      </c>
      <c r="B45" s="26" t="s">
        <v>441</v>
      </c>
      <c r="C45" s="27">
        <v>38873</v>
      </c>
      <c r="D45" s="27">
        <v>38873</v>
      </c>
      <c r="E45" s="26" t="s">
        <v>434</v>
      </c>
      <c r="F45" s="28">
        <v>50</v>
      </c>
      <c r="G45" s="26" t="s">
        <v>435</v>
      </c>
      <c r="H45" s="29" t="s">
        <v>436</v>
      </c>
    </row>
    <row r="46" spans="1:8">
      <c r="A46" s="20">
        <v>76</v>
      </c>
      <c r="B46" s="21" t="s">
        <v>459</v>
      </c>
      <c r="C46" s="22">
        <v>38873</v>
      </c>
      <c r="D46" s="22">
        <v>38873</v>
      </c>
      <c r="E46" s="21" t="s">
        <v>438</v>
      </c>
      <c r="F46" s="23">
        <v>5</v>
      </c>
      <c r="G46" s="21" t="s">
        <v>444</v>
      </c>
      <c r="H46" s="24" t="s">
        <v>436</v>
      </c>
    </row>
    <row r="47" spans="1:8">
      <c r="A47" s="25">
        <v>77</v>
      </c>
      <c r="B47" s="26" t="s">
        <v>460</v>
      </c>
      <c r="C47" s="27">
        <v>38873</v>
      </c>
      <c r="D47" s="27">
        <v>38873</v>
      </c>
      <c r="E47" s="26" t="s">
        <v>442</v>
      </c>
      <c r="F47" s="28">
        <v>60</v>
      </c>
      <c r="G47" s="26" t="s">
        <v>439</v>
      </c>
      <c r="H47" s="29" t="s">
        <v>436</v>
      </c>
    </row>
    <row r="48" spans="1:8">
      <c r="A48" s="20">
        <v>78</v>
      </c>
      <c r="B48" s="21" t="s">
        <v>443</v>
      </c>
      <c r="C48" s="22">
        <v>38873</v>
      </c>
      <c r="D48" s="22">
        <v>38873</v>
      </c>
      <c r="E48" s="21" t="s">
        <v>434</v>
      </c>
      <c r="F48" s="23">
        <v>200</v>
      </c>
      <c r="G48" s="21" t="s">
        <v>435</v>
      </c>
      <c r="H48" s="24" t="s">
        <v>436</v>
      </c>
    </row>
    <row r="49" spans="1:8">
      <c r="A49" s="25">
        <v>79</v>
      </c>
      <c r="B49" s="26" t="s">
        <v>445</v>
      </c>
      <c r="C49" s="27">
        <v>38891</v>
      </c>
      <c r="D49" s="27">
        <v>38891</v>
      </c>
      <c r="E49" s="26" t="s">
        <v>442</v>
      </c>
      <c r="F49" s="28">
        <v>0</v>
      </c>
      <c r="G49" s="26" t="s">
        <v>435</v>
      </c>
      <c r="H49" s="29" t="s">
        <v>436</v>
      </c>
    </row>
    <row r="50" spans="1:8">
      <c r="A50" s="20">
        <v>80</v>
      </c>
      <c r="B50" s="21" t="s">
        <v>437</v>
      </c>
      <c r="C50" s="22">
        <v>38832.7110532407</v>
      </c>
      <c r="D50" s="22"/>
      <c r="E50" s="21" t="s">
        <v>306</v>
      </c>
      <c r="F50" s="23">
        <v>0</v>
      </c>
      <c r="G50" s="21" t="s">
        <v>306</v>
      </c>
      <c r="H50" s="24" t="s">
        <v>455</v>
      </c>
    </row>
    <row r="51" spans="1:8">
      <c r="A51" s="38">
        <v>81</v>
      </c>
      <c r="B51" s="39" t="s">
        <v>442</v>
      </c>
      <c r="C51" s="40">
        <v>38832.7270023148</v>
      </c>
      <c r="D51" s="40"/>
      <c r="E51" s="39" t="s">
        <v>306</v>
      </c>
      <c r="F51" s="41">
        <v>0</v>
      </c>
      <c r="G51" s="39" t="s">
        <v>306</v>
      </c>
      <c r="H51" s="42" t="s">
        <v>455</v>
      </c>
    </row>
  </sheetData>
  <mergeCells count="1">
    <mergeCell ref="B1:G1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G40" sqref="G40"/>
    </sheetView>
  </sheetViews>
  <sheetFormatPr defaultColWidth="9" defaultRowHeight="14.4" outlineLevelRow="7" outlineLevelCol="2"/>
  <cols>
    <col min="1" max="1" width="14.2222222222222" customWidth="1"/>
    <col min="2" max="2" width="13.3333333333333" customWidth="1"/>
    <col min="3" max="3" width="17.5555555555556" customWidth="1"/>
  </cols>
  <sheetData>
    <row r="3" spans="1:3">
      <c r="A3" t="s">
        <v>464</v>
      </c>
      <c r="B3" t="s">
        <v>465</v>
      </c>
      <c r="C3" t="s">
        <v>466</v>
      </c>
    </row>
    <row r="4" spans="1:3">
      <c r="A4" s="6" t="s">
        <v>243</v>
      </c>
      <c r="B4" s="33">
        <v>22563.761</v>
      </c>
      <c r="C4" s="33">
        <v>88.4853372549019</v>
      </c>
    </row>
    <row r="5" spans="1:3">
      <c r="A5" s="6" t="s">
        <v>249</v>
      </c>
      <c r="B5" s="33">
        <v>17829.141</v>
      </c>
      <c r="C5" s="33">
        <v>71.316564</v>
      </c>
    </row>
    <row r="6" spans="1:3">
      <c r="A6" s="6" t="s">
        <v>136</v>
      </c>
      <c r="B6" s="33">
        <v>31044.057</v>
      </c>
      <c r="C6" s="33">
        <v>95.5201753846153</v>
      </c>
    </row>
    <row r="7" spans="1:3">
      <c r="A7" s="6" t="s">
        <v>467</v>
      </c>
      <c r="B7" s="33"/>
      <c r="C7" s="33"/>
    </row>
    <row r="8" spans="1:3">
      <c r="A8" s="6" t="s">
        <v>427</v>
      </c>
      <c r="B8" s="33">
        <v>71436.959</v>
      </c>
      <c r="C8" s="33">
        <v>86.0686253012048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0"/>
  <sheetViews>
    <sheetView workbookViewId="0">
      <selection activeCell="A9" sqref="A9"/>
    </sheetView>
  </sheetViews>
  <sheetFormatPr defaultColWidth="9" defaultRowHeight="14.4" outlineLevelCol="7"/>
  <cols>
    <col min="1" max="1" width="9.88888888888889" customWidth="1"/>
    <col min="2" max="2" width="29" customWidth="1"/>
    <col min="3" max="3" width="15.5555555555556" customWidth="1"/>
    <col min="4" max="4" width="11.8888888888889" customWidth="1"/>
    <col min="5" max="5" width="13.6666666666667" customWidth="1"/>
    <col min="6" max="6" width="13.5555555555556" customWidth="1"/>
    <col min="7" max="7" width="9.88888888888889" customWidth="1"/>
    <col min="8" max="8" width="13.3333333333333" customWidth="1"/>
  </cols>
  <sheetData>
    <row r="1" ht="23.4" spans="1:8">
      <c r="B1" s="16" t="s">
        <v>468</v>
      </c>
      <c r="C1" s="16"/>
      <c r="D1" s="16"/>
      <c r="E1" s="16"/>
      <c r="F1" s="16"/>
      <c r="G1" s="16"/>
    </row>
    <row r="9" spans="1:8">
      <c r="A9" s="17" t="s">
        <v>126</v>
      </c>
      <c r="B9" s="18" t="s">
        <v>127</v>
      </c>
      <c r="C9" s="18" t="s">
        <v>469</v>
      </c>
      <c r="D9" s="18" t="s">
        <v>128</v>
      </c>
      <c r="E9" s="18" t="s">
        <v>130</v>
      </c>
      <c r="F9" s="18" t="s">
        <v>131</v>
      </c>
      <c r="G9" s="18" t="s">
        <v>132</v>
      </c>
      <c r="H9" s="19" t="s">
        <v>134</v>
      </c>
    </row>
    <row r="10" spans="1:8">
      <c r="A10" s="20">
        <v>10248</v>
      </c>
      <c r="B10" s="21" t="s">
        <v>242</v>
      </c>
      <c r="C10" s="21" t="s">
        <v>470</v>
      </c>
      <c r="D10" s="22">
        <v>35250</v>
      </c>
      <c r="E10" s="22">
        <v>35262</v>
      </c>
      <c r="F10" s="21" t="s">
        <v>243</v>
      </c>
      <c r="G10" s="23">
        <v>35.618</v>
      </c>
      <c r="H10" s="24" t="s">
        <v>154</v>
      </c>
    </row>
    <row r="11" spans="1:8">
      <c r="A11" s="25">
        <v>10249</v>
      </c>
      <c r="B11" s="26" t="s">
        <v>152</v>
      </c>
      <c r="C11" s="26" t="s">
        <v>471</v>
      </c>
      <c r="D11" s="27">
        <v>35251</v>
      </c>
      <c r="E11" s="27">
        <v>35256</v>
      </c>
      <c r="F11" s="26" t="s">
        <v>249</v>
      </c>
      <c r="G11" s="28">
        <v>12.771</v>
      </c>
      <c r="H11" s="29" t="s">
        <v>150</v>
      </c>
    </row>
    <row r="12" spans="1:8">
      <c r="A12" s="20">
        <v>10250</v>
      </c>
      <c r="B12" s="21" t="s">
        <v>135</v>
      </c>
      <c r="C12" s="21" t="s">
        <v>472</v>
      </c>
      <c r="D12" s="22">
        <v>35254</v>
      </c>
      <c r="E12" s="22">
        <v>35258</v>
      </c>
      <c r="F12" s="21" t="s">
        <v>136</v>
      </c>
      <c r="G12" s="23">
        <v>72.413</v>
      </c>
      <c r="H12" s="24" t="s">
        <v>137</v>
      </c>
    </row>
    <row r="13" spans="1:8">
      <c r="A13" s="25">
        <v>10251</v>
      </c>
      <c r="B13" s="26" t="s">
        <v>173</v>
      </c>
      <c r="C13" s="26" t="s">
        <v>473</v>
      </c>
      <c r="D13" s="27">
        <v>35254</v>
      </c>
      <c r="E13" s="27">
        <v>35261</v>
      </c>
      <c r="F13" s="26" t="s">
        <v>249</v>
      </c>
      <c r="G13" s="28">
        <v>45.474</v>
      </c>
      <c r="H13" s="29" t="s">
        <v>154</v>
      </c>
    </row>
    <row r="14" spans="1:8">
      <c r="A14" s="20">
        <v>10252</v>
      </c>
      <c r="B14" s="21" t="s">
        <v>138</v>
      </c>
      <c r="C14" s="21" t="s">
        <v>472</v>
      </c>
      <c r="D14" s="22">
        <v>35255</v>
      </c>
      <c r="E14" s="22">
        <v>35257</v>
      </c>
      <c r="F14" s="21" t="s">
        <v>136</v>
      </c>
      <c r="G14" s="23">
        <v>56.43</v>
      </c>
      <c r="H14" s="24" t="s">
        <v>139</v>
      </c>
    </row>
    <row r="15" spans="1:8">
      <c r="A15" s="25">
        <v>10253</v>
      </c>
      <c r="B15" s="26" t="s">
        <v>135</v>
      </c>
      <c r="C15" s="26" t="s">
        <v>473</v>
      </c>
      <c r="D15" s="27">
        <v>35256</v>
      </c>
      <c r="E15" s="27">
        <v>35262</v>
      </c>
      <c r="F15" s="26" t="s">
        <v>136</v>
      </c>
      <c r="G15" s="28">
        <v>63.987</v>
      </c>
      <c r="H15" s="29" t="s">
        <v>137</v>
      </c>
    </row>
    <row r="16" spans="1:8">
      <c r="A16" s="20">
        <v>10254</v>
      </c>
      <c r="B16" s="21" t="s">
        <v>140</v>
      </c>
      <c r="C16" s="21" t="s">
        <v>470</v>
      </c>
      <c r="D16" s="22">
        <v>35257</v>
      </c>
      <c r="E16" s="22">
        <v>35269</v>
      </c>
      <c r="F16" s="21" t="s">
        <v>249</v>
      </c>
      <c r="G16" s="23">
        <v>25.278</v>
      </c>
      <c r="H16" s="24" t="s">
        <v>141</v>
      </c>
    </row>
    <row r="17" spans="1:8">
      <c r="A17" s="25">
        <v>10255</v>
      </c>
      <c r="B17" s="26" t="s">
        <v>192</v>
      </c>
      <c r="C17" s="26" t="s">
        <v>474</v>
      </c>
      <c r="D17" s="27">
        <v>35258</v>
      </c>
      <c r="E17" s="27">
        <v>35261</v>
      </c>
      <c r="F17" s="26" t="s">
        <v>243</v>
      </c>
      <c r="G17" s="28">
        <v>163.163</v>
      </c>
      <c r="H17" s="29" t="s">
        <v>141</v>
      </c>
    </row>
    <row r="18" spans="1:8">
      <c r="A18" s="20">
        <v>10256</v>
      </c>
      <c r="B18" s="21" t="s">
        <v>142</v>
      </c>
      <c r="C18" s="21" t="s">
        <v>473</v>
      </c>
      <c r="D18" s="22">
        <v>35261</v>
      </c>
      <c r="E18" s="22">
        <v>35263</v>
      </c>
      <c r="F18" s="21" t="s">
        <v>136</v>
      </c>
      <c r="G18" s="23">
        <v>15.367</v>
      </c>
      <c r="H18" s="24" t="s">
        <v>137</v>
      </c>
    </row>
    <row r="19" spans="1:8">
      <c r="A19" s="25">
        <v>10257</v>
      </c>
      <c r="B19" s="26" t="s">
        <v>209</v>
      </c>
      <c r="C19" s="26" t="s">
        <v>472</v>
      </c>
      <c r="D19" s="27">
        <v>35262</v>
      </c>
      <c r="E19" s="27">
        <v>35268</v>
      </c>
      <c r="F19" s="26" t="s">
        <v>243</v>
      </c>
      <c r="G19" s="28">
        <v>90.101</v>
      </c>
      <c r="H19" s="29" t="s">
        <v>208</v>
      </c>
    </row>
    <row r="20" spans="1:8">
      <c r="A20" s="20">
        <v>10258</v>
      </c>
      <c r="B20" s="21" t="s">
        <v>182</v>
      </c>
      <c r="C20" s="21" t="s">
        <v>475</v>
      </c>
      <c r="D20" s="22">
        <v>35263</v>
      </c>
      <c r="E20" s="22">
        <v>35269</v>
      </c>
      <c r="F20" s="21" t="s">
        <v>249</v>
      </c>
      <c r="G20" s="23">
        <v>154.561</v>
      </c>
      <c r="H20" s="24" t="s">
        <v>183</v>
      </c>
    </row>
    <row r="21" spans="1:8">
      <c r="A21" s="25">
        <v>10259</v>
      </c>
      <c r="B21" s="26" t="s">
        <v>244</v>
      </c>
      <c r="C21" s="26" t="s">
        <v>472</v>
      </c>
      <c r="D21" s="27">
        <v>35264</v>
      </c>
      <c r="E21" s="27">
        <v>35271</v>
      </c>
      <c r="F21" s="26" t="s">
        <v>243</v>
      </c>
      <c r="G21" s="28">
        <v>3.575</v>
      </c>
      <c r="H21" s="29" t="s">
        <v>165</v>
      </c>
    </row>
    <row r="22" spans="1:8">
      <c r="A22" s="20">
        <v>10260</v>
      </c>
      <c r="B22" s="21" t="s">
        <v>198</v>
      </c>
      <c r="C22" s="21" t="s">
        <v>472</v>
      </c>
      <c r="D22" s="22">
        <v>35265</v>
      </c>
      <c r="E22" s="22">
        <v>35275</v>
      </c>
      <c r="F22" s="21" t="s">
        <v>249</v>
      </c>
      <c r="G22" s="23">
        <v>60.599</v>
      </c>
      <c r="H22" s="24" t="s">
        <v>150</v>
      </c>
    </row>
    <row r="23" spans="1:8">
      <c r="A23" s="25">
        <v>10261</v>
      </c>
      <c r="B23" s="26" t="s">
        <v>143</v>
      </c>
      <c r="C23" s="26" t="s">
        <v>472</v>
      </c>
      <c r="D23" s="27">
        <v>35265</v>
      </c>
      <c r="E23" s="27">
        <v>35276</v>
      </c>
      <c r="F23" s="26" t="s">
        <v>136</v>
      </c>
      <c r="G23" s="28">
        <v>3.355</v>
      </c>
      <c r="H23" s="29" t="s">
        <v>137</v>
      </c>
    </row>
    <row r="24" spans="1:8">
      <c r="A24" s="20">
        <v>10262</v>
      </c>
      <c r="B24" s="21" t="s">
        <v>146</v>
      </c>
      <c r="C24" s="21" t="s">
        <v>476</v>
      </c>
      <c r="D24" s="22">
        <v>35268</v>
      </c>
      <c r="E24" s="22">
        <v>35271</v>
      </c>
      <c r="F24" s="21" t="s">
        <v>243</v>
      </c>
      <c r="G24" s="23">
        <v>53.119</v>
      </c>
      <c r="H24" s="24" t="s">
        <v>145</v>
      </c>
    </row>
    <row r="25" spans="1:8">
      <c r="A25" s="25">
        <v>10263</v>
      </c>
      <c r="B25" s="26" t="s">
        <v>182</v>
      </c>
      <c r="C25" s="26" t="s">
        <v>474</v>
      </c>
      <c r="D25" s="27">
        <v>35269</v>
      </c>
      <c r="E25" s="27">
        <v>35277</v>
      </c>
      <c r="F25" s="26" t="s">
        <v>243</v>
      </c>
      <c r="G25" s="28">
        <v>160.666</v>
      </c>
      <c r="H25" s="29" t="s">
        <v>183</v>
      </c>
    </row>
    <row r="26" spans="1:8">
      <c r="A26" s="20">
        <v>10264</v>
      </c>
      <c r="B26" s="21" t="s">
        <v>194</v>
      </c>
      <c r="C26" s="21" t="s">
        <v>471</v>
      </c>
      <c r="D26" s="22">
        <v>35270</v>
      </c>
      <c r="E26" s="22">
        <v>35300</v>
      </c>
      <c r="F26" s="21" t="s">
        <v>243</v>
      </c>
      <c r="G26" s="23">
        <v>4.037</v>
      </c>
      <c r="H26" s="24" t="s">
        <v>148</v>
      </c>
    </row>
    <row r="27" spans="1:8">
      <c r="A27" s="25">
        <v>10265</v>
      </c>
      <c r="B27" s="26" t="s">
        <v>155</v>
      </c>
      <c r="C27" s="26" t="s">
        <v>477</v>
      </c>
      <c r="D27" s="27">
        <v>35271</v>
      </c>
      <c r="E27" s="27">
        <v>35289</v>
      </c>
      <c r="F27" s="26" t="s">
        <v>249</v>
      </c>
      <c r="G27" s="28">
        <v>60.808</v>
      </c>
      <c r="H27" s="29" t="s">
        <v>154</v>
      </c>
    </row>
    <row r="28" spans="1:8">
      <c r="A28" s="20">
        <v>10266</v>
      </c>
      <c r="B28" s="21" t="s">
        <v>190</v>
      </c>
      <c r="C28" s="21" t="s">
        <v>473</v>
      </c>
      <c r="D28" s="22">
        <v>35272</v>
      </c>
      <c r="E28" s="22">
        <v>35277</v>
      </c>
      <c r="F28" s="21" t="s">
        <v>243</v>
      </c>
      <c r="G28" s="23">
        <v>28.303</v>
      </c>
      <c r="H28" s="24" t="s">
        <v>191</v>
      </c>
    </row>
    <row r="29" spans="1:8">
      <c r="A29" s="25">
        <v>10267</v>
      </c>
      <c r="B29" s="26" t="s">
        <v>176</v>
      </c>
      <c r="C29" s="26" t="s">
        <v>472</v>
      </c>
      <c r="D29" s="27">
        <v>35275</v>
      </c>
      <c r="E29" s="27">
        <v>35283</v>
      </c>
      <c r="F29" s="26" t="s">
        <v>249</v>
      </c>
      <c r="G29" s="28">
        <v>229.438</v>
      </c>
      <c r="H29" s="29" t="s">
        <v>150</v>
      </c>
    </row>
    <row r="30" spans="1:8">
      <c r="A30" s="20">
        <v>10268</v>
      </c>
      <c r="B30" s="21" t="s">
        <v>245</v>
      </c>
      <c r="C30" s="21" t="s">
        <v>476</v>
      </c>
      <c r="D30" s="22">
        <v>35276</v>
      </c>
      <c r="E30" s="22">
        <v>35279</v>
      </c>
      <c r="F30" s="21" t="s">
        <v>243</v>
      </c>
      <c r="G30" s="23">
        <v>72.919</v>
      </c>
      <c r="H30" s="24" t="s">
        <v>208</v>
      </c>
    </row>
    <row r="31" spans="1:8">
      <c r="A31" s="25">
        <v>10269</v>
      </c>
      <c r="B31" s="26" t="s">
        <v>177</v>
      </c>
      <c r="C31" s="26" t="s">
        <v>470</v>
      </c>
      <c r="D31" s="27">
        <v>35277</v>
      </c>
      <c r="E31" s="27">
        <v>35286</v>
      </c>
      <c r="F31" s="26" t="s">
        <v>249</v>
      </c>
      <c r="G31" s="28">
        <v>5.016</v>
      </c>
      <c r="H31" s="29" t="s">
        <v>145</v>
      </c>
    </row>
    <row r="32" spans="1:8">
      <c r="A32" s="20">
        <v>10270</v>
      </c>
      <c r="B32" s="21" t="s">
        <v>190</v>
      </c>
      <c r="C32" s="21" t="s">
        <v>475</v>
      </c>
      <c r="D32" s="22">
        <v>35278</v>
      </c>
      <c r="E32" s="22">
        <v>35279</v>
      </c>
      <c r="F32" s="21" t="s">
        <v>249</v>
      </c>
      <c r="G32" s="23">
        <v>150.194</v>
      </c>
      <c r="H32" s="24" t="s">
        <v>191</v>
      </c>
    </row>
    <row r="33" spans="1:8">
      <c r="A33" s="25">
        <v>10271</v>
      </c>
      <c r="B33" s="26" t="s">
        <v>144</v>
      </c>
      <c r="C33" s="26" t="s">
        <v>471</v>
      </c>
      <c r="D33" s="27">
        <v>35278</v>
      </c>
      <c r="E33" s="27">
        <v>35307</v>
      </c>
      <c r="F33" s="26" t="s">
        <v>136</v>
      </c>
      <c r="G33" s="28">
        <v>4.994</v>
      </c>
      <c r="H33" s="29" t="s">
        <v>145</v>
      </c>
    </row>
    <row r="34" spans="1:8">
      <c r="A34" s="20">
        <v>10272</v>
      </c>
      <c r="B34" s="21" t="s">
        <v>146</v>
      </c>
      <c r="C34" s="21" t="s">
        <v>471</v>
      </c>
      <c r="D34" s="22">
        <v>35279</v>
      </c>
      <c r="E34" s="22">
        <v>35283</v>
      </c>
      <c r="F34" s="21" t="s">
        <v>136</v>
      </c>
      <c r="G34" s="23">
        <v>107.833</v>
      </c>
      <c r="H34" s="24" t="s">
        <v>145</v>
      </c>
    </row>
    <row r="35" spans="1:8">
      <c r="A35" s="25">
        <v>10273</v>
      </c>
      <c r="B35" s="26" t="s">
        <v>151</v>
      </c>
      <c r="C35" s="26" t="s">
        <v>473</v>
      </c>
      <c r="D35" s="27">
        <v>35282</v>
      </c>
      <c r="E35" s="27">
        <v>35289</v>
      </c>
      <c r="F35" s="26" t="s">
        <v>243</v>
      </c>
      <c r="G35" s="28">
        <v>83.677</v>
      </c>
      <c r="H35" s="29" t="s">
        <v>150</v>
      </c>
    </row>
    <row r="36" spans="1:8">
      <c r="A36" s="20">
        <v>10274</v>
      </c>
      <c r="B36" s="21" t="s">
        <v>153</v>
      </c>
      <c r="C36" s="21" t="s">
        <v>471</v>
      </c>
      <c r="D36" s="22">
        <v>35283</v>
      </c>
      <c r="E36" s="22">
        <v>35293</v>
      </c>
      <c r="F36" s="21" t="s">
        <v>249</v>
      </c>
      <c r="G36" s="23">
        <v>6.611</v>
      </c>
      <c r="H36" s="24" t="s">
        <v>154</v>
      </c>
    </row>
    <row r="37" spans="1:8">
      <c r="A37" s="25">
        <v>10275</v>
      </c>
      <c r="B37" s="26" t="s">
        <v>159</v>
      </c>
      <c r="C37" s="26" t="s">
        <v>475</v>
      </c>
      <c r="D37" s="27">
        <v>35284</v>
      </c>
      <c r="E37" s="27">
        <v>35286</v>
      </c>
      <c r="F37" s="26" t="s">
        <v>249</v>
      </c>
      <c r="G37" s="28">
        <v>29.623</v>
      </c>
      <c r="H37" s="29" t="s">
        <v>160</v>
      </c>
    </row>
    <row r="38" spans="1:8">
      <c r="A38" s="20">
        <v>10276</v>
      </c>
      <c r="B38" s="21" t="s">
        <v>164</v>
      </c>
      <c r="C38" s="21" t="s">
        <v>476</v>
      </c>
      <c r="D38" s="22">
        <v>35285</v>
      </c>
      <c r="E38" s="22">
        <v>35291</v>
      </c>
      <c r="F38" s="21" t="s">
        <v>243</v>
      </c>
      <c r="G38" s="23">
        <v>15.224</v>
      </c>
      <c r="H38" s="24" t="s">
        <v>165</v>
      </c>
    </row>
    <row r="39" spans="1:8">
      <c r="A39" s="25">
        <v>10277</v>
      </c>
      <c r="B39" s="26" t="s">
        <v>231</v>
      </c>
      <c r="C39" s="26" t="s">
        <v>477</v>
      </c>
      <c r="D39" s="27">
        <v>35286</v>
      </c>
      <c r="E39" s="27">
        <v>35290</v>
      </c>
      <c r="F39" s="26" t="s">
        <v>243</v>
      </c>
      <c r="G39" s="28">
        <v>138.347</v>
      </c>
      <c r="H39" s="29" t="s">
        <v>150</v>
      </c>
    </row>
    <row r="40" spans="1:8">
      <c r="A40" s="20">
        <v>10278</v>
      </c>
      <c r="B40" s="21" t="s">
        <v>147</v>
      </c>
      <c r="C40" s="21" t="s">
        <v>476</v>
      </c>
      <c r="D40" s="22">
        <v>35289</v>
      </c>
      <c r="E40" s="22">
        <v>35293</v>
      </c>
      <c r="F40" s="21" t="s">
        <v>136</v>
      </c>
      <c r="G40" s="23">
        <v>101.959</v>
      </c>
      <c r="H40" s="24" t="s">
        <v>148</v>
      </c>
    </row>
    <row r="41" spans="1:8">
      <c r="A41" s="25">
        <v>10279</v>
      </c>
      <c r="B41" s="26" t="s">
        <v>149</v>
      </c>
      <c r="C41" s="26" t="s">
        <v>476</v>
      </c>
      <c r="D41" s="27">
        <v>35290</v>
      </c>
      <c r="E41" s="27">
        <v>35293</v>
      </c>
      <c r="F41" s="26" t="s">
        <v>136</v>
      </c>
      <c r="G41" s="28">
        <v>28.413</v>
      </c>
      <c r="H41" s="29" t="s">
        <v>150</v>
      </c>
    </row>
    <row r="42" spans="1:8">
      <c r="A42" s="20">
        <v>10280</v>
      </c>
      <c r="B42" s="21" t="s">
        <v>147</v>
      </c>
      <c r="C42" s="21" t="s">
        <v>477</v>
      </c>
      <c r="D42" s="22">
        <v>35291</v>
      </c>
      <c r="E42" s="22">
        <v>35320</v>
      </c>
      <c r="F42" s="21" t="s">
        <v>249</v>
      </c>
      <c r="G42" s="23">
        <v>9.878</v>
      </c>
      <c r="H42" s="24" t="s">
        <v>148</v>
      </c>
    </row>
    <row r="43" spans="1:8">
      <c r="A43" s="25">
        <v>10281</v>
      </c>
      <c r="B43" s="26" t="s">
        <v>235</v>
      </c>
      <c r="C43" s="26" t="s">
        <v>472</v>
      </c>
      <c r="D43" s="27">
        <v>35291</v>
      </c>
      <c r="E43" s="27">
        <v>35298</v>
      </c>
      <c r="F43" s="26" t="s">
        <v>249</v>
      </c>
      <c r="G43" s="28">
        <v>3.234</v>
      </c>
      <c r="H43" s="29" t="s">
        <v>163</v>
      </c>
    </row>
    <row r="44" spans="1:8">
      <c r="A44" s="20">
        <v>10282</v>
      </c>
      <c r="B44" s="21" t="s">
        <v>235</v>
      </c>
      <c r="C44" s="21" t="s">
        <v>472</v>
      </c>
      <c r="D44" s="22">
        <v>35292</v>
      </c>
      <c r="E44" s="22">
        <v>35298</v>
      </c>
      <c r="F44" s="21" t="s">
        <v>249</v>
      </c>
      <c r="G44" s="23">
        <v>13.959</v>
      </c>
      <c r="H44" s="24" t="s">
        <v>163</v>
      </c>
    </row>
    <row r="45" spans="1:8">
      <c r="A45" s="25">
        <v>10283</v>
      </c>
      <c r="B45" s="26" t="s">
        <v>211</v>
      </c>
      <c r="C45" s="26" t="s">
        <v>473</v>
      </c>
      <c r="D45" s="27">
        <v>35293</v>
      </c>
      <c r="E45" s="27">
        <v>35300</v>
      </c>
      <c r="F45" s="26" t="s">
        <v>243</v>
      </c>
      <c r="G45" s="28">
        <v>93.291</v>
      </c>
      <c r="H45" s="29" t="s">
        <v>208</v>
      </c>
    </row>
    <row r="46" spans="1:8">
      <c r="A46" s="20">
        <v>10284</v>
      </c>
      <c r="B46" s="21" t="s">
        <v>149</v>
      </c>
      <c r="C46" s="21" t="s">
        <v>472</v>
      </c>
      <c r="D46" s="22">
        <v>35296</v>
      </c>
      <c r="E46" s="22">
        <v>35304</v>
      </c>
      <c r="F46" s="21" t="s">
        <v>249</v>
      </c>
      <c r="G46" s="23">
        <v>84.216</v>
      </c>
      <c r="H46" s="24" t="s">
        <v>150</v>
      </c>
    </row>
    <row r="47" spans="1:8">
      <c r="A47" s="25">
        <v>10285</v>
      </c>
      <c r="B47" s="26" t="s">
        <v>151</v>
      </c>
      <c r="C47" s="26" t="s">
        <v>475</v>
      </c>
      <c r="D47" s="27">
        <v>35297</v>
      </c>
      <c r="E47" s="27">
        <v>35303</v>
      </c>
      <c r="F47" s="26" t="s">
        <v>136</v>
      </c>
      <c r="G47" s="28">
        <v>84.513</v>
      </c>
      <c r="H47" s="29" t="s">
        <v>150</v>
      </c>
    </row>
    <row r="48" spans="1:8">
      <c r="A48" s="20">
        <v>10286</v>
      </c>
      <c r="B48" s="21" t="s">
        <v>151</v>
      </c>
      <c r="C48" s="21" t="s">
        <v>476</v>
      </c>
      <c r="D48" s="22">
        <v>35298</v>
      </c>
      <c r="E48" s="22">
        <v>35307</v>
      </c>
      <c r="F48" s="21" t="s">
        <v>243</v>
      </c>
      <c r="G48" s="23">
        <v>252.164</v>
      </c>
      <c r="H48" s="24" t="s">
        <v>150</v>
      </c>
    </row>
    <row r="49" spans="1:8">
      <c r="A49" s="25">
        <v>10287</v>
      </c>
      <c r="B49" s="26" t="s">
        <v>158</v>
      </c>
      <c r="C49" s="26" t="s">
        <v>476</v>
      </c>
      <c r="D49" s="27">
        <v>35299</v>
      </c>
      <c r="E49" s="27">
        <v>35305</v>
      </c>
      <c r="F49" s="26" t="s">
        <v>243</v>
      </c>
      <c r="G49" s="28">
        <v>14.036</v>
      </c>
      <c r="H49" s="29" t="s">
        <v>137</v>
      </c>
    </row>
    <row r="50" spans="1:8">
      <c r="A50" s="20">
        <v>10288</v>
      </c>
      <c r="B50" s="21" t="s">
        <v>229</v>
      </c>
      <c r="C50" s="21" t="s">
        <v>472</v>
      </c>
      <c r="D50" s="22">
        <v>35300</v>
      </c>
      <c r="E50" s="22">
        <v>35311</v>
      </c>
      <c r="F50" s="21" t="s">
        <v>249</v>
      </c>
      <c r="G50" s="23">
        <v>8.195</v>
      </c>
      <c r="H50" s="24" t="s">
        <v>160</v>
      </c>
    </row>
    <row r="51" spans="1:8">
      <c r="A51" s="25">
        <v>10289</v>
      </c>
      <c r="B51" s="26" t="s">
        <v>236</v>
      </c>
      <c r="C51" s="26" t="s">
        <v>478</v>
      </c>
      <c r="D51" s="27">
        <v>35303</v>
      </c>
      <c r="E51" s="27">
        <v>35305</v>
      </c>
      <c r="F51" s="26" t="s">
        <v>243</v>
      </c>
      <c r="G51" s="28">
        <v>25.047</v>
      </c>
      <c r="H51" s="29" t="s">
        <v>169</v>
      </c>
    </row>
    <row r="52" spans="1:8">
      <c r="A52" s="20">
        <v>10290</v>
      </c>
      <c r="B52" s="21" t="s">
        <v>210</v>
      </c>
      <c r="C52" s="21" t="s">
        <v>476</v>
      </c>
      <c r="D52" s="22">
        <v>35304</v>
      </c>
      <c r="E52" s="22">
        <v>35311</v>
      </c>
      <c r="F52" s="21" t="s">
        <v>249</v>
      </c>
      <c r="G52" s="23">
        <v>87.67</v>
      </c>
      <c r="H52" s="24" t="s">
        <v>137</v>
      </c>
    </row>
    <row r="53" spans="1:8">
      <c r="A53" s="25">
        <v>10291</v>
      </c>
      <c r="B53" s="26" t="s">
        <v>143</v>
      </c>
      <c r="C53" s="26" t="s">
        <v>471</v>
      </c>
      <c r="D53" s="27">
        <v>35304</v>
      </c>
      <c r="E53" s="27">
        <v>35312</v>
      </c>
      <c r="F53" s="26" t="s">
        <v>136</v>
      </c>
      <c r="G53" s="28">
        <v>7.04</v>
      </c>
      <c r="H53" s="29" t="s">
        <v>137</v>
      </c>
    </row>
    <row r="54" spans="1:8">
      <c r="A54" s="20">
        <v>10292</v>
      </c>
      <c r="B54" s="21" t="s">
        <v>152</v>
      </c>
      <c r="C54" s="21" t="s">
        <v>475</v>
      </c>
      <c r="D54" s="22">
        <v>35305</v>
      </c>
      <c r="E54" s="22">
        <v>35310</v>
      </c>
      <c r="F54" s="21" t="s">
        <v>136</v>
      </c>
      <c r="G54" s="23">
        <v>1.485</v>
      </c>
      <c r="H54" s="24" t="s">
        <v>137</v>
      </c>
    </row>
    <row r="55" spans="1:8">
      <c r="A55" s="25">
        <v>10293</v>
      </c>
      <c r="B55" s="26" t="s">
        <v>164</v>
      </c>
      <c r="C55" s="26" t="s">
        <v>475</v>
      </c>
      <c r="D55" s="27">
        <v>35306</v>
      </c>
      <c r="E55" s="27">
        <v>35319</v>
      </c>
      <c r="F55" s="26" t="s">
        <v>243</v>
      </c>
      <c r="G55" s="28">
        <v>23.298</v>
      </c>
      <c r="H55" s="29" t="s">
        <v>165</v>
      </c>
    </row>
    <row r="56" spans="1:8">
      <c r="A56" s="20">
        <v>10294</v>
      </c>
      <c r="B56" s="21" t="s">
        <v>146</v>
      </c>
      <c r="C56" s="21" t="s">
        <v>472</v>
      </c>
      <c r="D56" s="22">
        <v>35307</v>
      </c>
      <c r="E56" s="22">
        <v>35313</v>
      </c>
      <c r="F56" s="21" t="s">
        <v>136</v>
      </c>
      <c r="G56" s="23">
        <v>161.986</v>
      </c>
      <c r="H56" s="24" t="s">
        <v>145</v>
      </c>
    </row>
    <row r="57" spans="1:8">
      <c r="A57" s="25">
        <v>10295</v>
      </c>
      <c r="B57" s="26" t="s">
        <v>153</v>
      </c>
      <c r="C57" s="26" t="s">
        <v>477</v>
      </c>
      <c r="D57" s="27">
        <v>35310</v>
      </c>
      <c r="E57" s="27">
        <v>35318</v>
      </c>
      <c r="F57" s="26" t="s">
        <v>136</v>
      </c>
      <c r="G57" s="28">
        <v>1.265</v>
      </c>
      <c r="H57" s="29" t="s">
        <v>154</v>
      </c>
    </row>
    <row r="58" spans="1:8">
      <c r="A58" s="20">
        <v>10296</v>
      </c>
      <c r="B58" s="21" t="s">
        <v>211</v>
      </c>
      <c r="C58" s="21" t="s">
        <v>471</v>
      </c>
      <c r="D58" s="22">
        <v>35311</v>
      </c>
      <c r="E58" s="22">
        <v>35319</v>
      </c>
      <c r="F58" s="21" t="s">
        <v>249</v>
      </c>
      <c r="G58" s="23">
        <v>0.132</v>
      </c>
      <c r="H58" s="24" t="s">
        <v>208</v>
      </c>
    </row>
    <row r="59" spans="1:8">
      <c r="A59" s="25">
        <v>10297</v>
      </c>
      <c r="B59" s="26" t="s">
        <v>155</v>
      </c>
      <c r="C59" s="26" t="s">
        <v>470</v>
      </c>
      <c r="D59" s="27">
        <v>35312</v>
      </c>
      <c r="E59" s="27">
        <v>35318</v>
      </c>
      <c r="F59" s="26" t="s">
        <v>136</v>
      </c>
      <c r="G59" s="28">
        <v>6.314</v>
      </c>
      <c r="H59" s="29" t="s">
        <v>154</v>
      </c>
    </row>
    <row r="60" spans="1:8">
      <c r="A60" s="20">
        <v>10298</v>
      </c>
      <c r="B60" s="21" t="s">
        <v>156</v>
      </c>
      <c r="C60" s="21" t="s">
        <v>471</v>
      </c>
      <c r="D60" s="22">
        <v>35313</v>
      </c>
      <c r="E60" s="22">
        <v>35319</v>
      </c>
      <c r="F60" s="21" t="s">
        <v>136</v>
      </c>
      <c r="G60" s="23">
        <v>185.042</v>
      </c>
      <c r="H60" s="24" t="s">
        <v>157</v>
      </c>
    </row>
    <row r="61" spans="1:8">
      <c r="A61" s="25">
        <v>10299</v>
      </c>
      <c r="B61" s="26" t="s">
        <v>158</v>
      </c>
      <c r="C61" s="26" t="s">
        <v>472</v>
      </c>
      <c r="D61" s="27">
        <v>35314</v>
      </c>
      <c r="E61" s="27">
        <v>35321</v>
      </c>
      <c r="F61" s="26" t="s">
        <v>136</v>
      </c>
      <c r="G61" s="28">
        <v>32.736</v>
      </c>
      <c r="H61" s="29" t="s">
        <v>137</v>
      </c>
    </row>
    <row r="62" spans="1:8">
      <c r="A62" s="20">
        <v>10300</v>
      </c>
      <c r="B62" s="21" t="s">
        <v>159</v>
      </c>
      <c r="C62" s="21" t="s">
        <v>477</v>
      </c>
      <c r="D62" s="22">
        <v>35317</v>
      </c>
      <c r="E62" s="22">
        <v>35326</v>
      </c>
      <c r="F62" s="21" t="s">
        <v>136</v>
      </c>
      <c r="G62" s="23">
        <v>19.448</v>
      </c>
      <c r="H62" s="24" t="s">
        <v>160</v>
      </c>
    </row>
    <row r="63" spans="1:8">
      <c r="A63" s="25">
        <v>10301</v>
      </c>
      <c r="B63" s="26" t="s">
        <v>161</v>
      </c>
      <c r="C63" s="26" t="s">
        <v>476</v>
      </c>
      <c r="D63" s="27">
        <v>35317</v>
      </c>
      <c r="E63" s="27">
        <v>35325</v>
      </c>
      <c r="F63" s="26" t="s">
        <v>136</v>
      </c>
      <c r="G63" s="28">
        <v>49.588</v>
      </c>
      <c r="H63" s="29" t="s">
        <v>150</v>
      </c>
    </row>
    <row r="64" spans="1:8">
      <c r="A64" s="20">
        <v>10302</v>
      </c>
      <c r="B64" s="21" t="s">
        <v>138</v>
      </c>
      <c r="C64" s="21" t="s">
        <v>472</v>
      </c>
      <c r="D64" s="22">
        <v>35318</v>
      </c>
      <c r="E64" s="22">
        <v>35347</v>
      </c>
      <c r="F64" s="21" t="s">
        <v>136</v>
      </c>
      <c r="G64" s="23">
        <v>6.897</v>
      </c>
      <c r="H64" s="24" t="s">
        <v>139</v>
      </c>
    </row>
    <row r="65" spans="1:8">
      <c r="A65" s="25">
        <v>10303</v>
      </c>
      <c r="B65" s="26" t="s">
        <v>162</v>
      </c>
      <c r="C65" s="26" t="s">
        <v>478</v>
      </c>
      <c r="D65" s="27">
        <v>35319</v>
      </c>
      <c r="E65" s="27">
        <v>35326</v>
      </c>
      <c r="F65" s="26" t="s">
        <v>136</v>
      </c>
      <c r="G65" s="28">
        <v>118.613</v>
      </c>
      <c r="H65" s="29" t="s">
        <v>163</v>
      </c>
    </row>
    <row r="66" spans="1:8">
      <c r="A66" s="20">
        <v>10304</v>
      </c>
      <c r="B66" s="21" t="s">
        <v>164</v>
      </c>
      <c r="C66" s="21" t="s">
        <v>475</v>
      </c>
      <c r="D66" s="22">
        <v>35320</v>
      </c>
      <c r="E66" s="22">
        <v>35325</v>
      </c>
      <c r="F66" s="21" t="s">
        <v>136</v>
      </c>
      <c r="G66" s="23">
        <v>70.169</v>
      </c>
      <c r="H66" s="24" t="s">
        <v>165</v>
      </c>
    </row>
    <row r="67" spans="1:8">
      <c r="A67" s="25">
        <v>10305</v>
      </c>
      <c r="B67" s="26" t="s">
        <v>198</v>
      </c>
      <c r="C67" s="26" t="s">
        <v>476</v>
      </c>
      <c r="D67" s="27">
        <v>35321</v>
      </c>
      <c r="E67" s="27">
        <v>35347</v>
      </c>
      <c r="F67" s="26" t="s">
        <v>243</v>
      </c>
      <c r="G67" s="28">
        <v>283.382</v>
      </c>
      <c r="H67" s="29" t="s">
        <v>145</v>
      </c>
    </row>
    <row r="68" spans="1:8">
      <c r="A68" s="20">
        <v>10306</v>
      </c>
      <c r="B68" s="21" t="s">
        <v>235</v>
      </c>
      <c r="C68" s="21" t="s">
        <v>475</v>
      </c>
      <c r="D68" s="22">
        <v>35324</v>
      </c>
      <c r="E68" s="22">
        <v>35331</v>
      </c>
      <c r="F68" s="21" t="s">
        <v>243</v>
      </c>
      <c r="G68" s="23">
        <v>8.316</v>
      </c>
      <c r="H68" s="24" t="s">
        <v>163</v>
      </c>
    </row>
    <row r="69" spans="1:8">
      <c r="A69" s="25">
        <v>10307</v>
      </c>
      <c r="B69" s="26" t="s">
        <v>166</v>
      </c>
      <c r="C69" s="26" t="s">
        <v>477</v>
      </c>
      <c r="D69" s="27">
        <v>35325</v>
      </c>
      <c r="E69" s="27">
        <v>35333</v>
      </c>
      <c r="F69" s="26" t="s">
        <v>136</v>
      </c>
      <c r="G69" s="28">
        <v>0.616</v>
      </c>
      <c r="H69" s="29" t="s">
        <v>145</v>
      </c>
    </row>
    <row r="70" spans="1:8">
      <c r="A70" s="20">
        <v>10308</v>
      </c>
      <c r="B70" s="21" t="s">
        <v>246</v>
      </c>
      <c r="C70" s="21" t="s">
        <v>478</v>
      </c>
      <c r="D70" s="22">
        <v>35326</v>
      </c>
      <c r="E70" s="22">
        <v>35332</v>
      </c>
      <c r="F70" s="21" t="s">
        <v>243</v>
      </c>
      <c r="G70" s="23">
        <v>1.771</v>
      </c>
      <c r="H70" s="24" t="s">
        <v>165</v>
      </c>
    </row>
    <row r="71" spans="1:8">
      <c r="A71" s="25">
        <v>10309</v>
      </c>
      <c r="B71" s="26" t="s">
        <v>156</v>
      </c>
      <c r="C71" s="26" t="s">
        <v>473</v>
      </c>
      <c r="D71" s="27">
        <v>35327</v>
      </c>
      <c r="E71" s="27">
        <v>35361</v>
      </c>
      <c r="F71" s="26" t="s">
        <v>249</v>
      </c>
      <c r="G71" s="28">
        <v>52.03</v>
      </c>
      <c r="H71" s="29" t="s">
        <v>157</v>
      </c>
    </row>
    <row r="72" spans="1:8">
      <c r="A72" s="20">
        <v>10310</v>
      </c>
      <c r="B72" s="21" t="s">
        <v>167</v>
      </c>
      <c r="C72" s="21" t="s">
        <v>476</v>
      </c>
      <c r="D72" s="22">
        <v>35328</v>
      </c>
      <c r="E72" s="22">
        <v>35335</v>
      </c>
      <c r="F72" s="21" t="s">
        <v>136</v>
      </c>
      <c r="G72" s="23">
        <v>19.272</v>
      </c>
      <c r="H72" s="24" t="s">
        <v>145</v>
      </c>
    </row>
    <row r="73" spans="1:8">
      <c r="A73" s="25">
        <v>10311</v>
      </c>
      <c r="B73" s="26" t="s">
        <v>223</v>
      </c>
      <c r="C73" s="26" t="s">
        <v>475</v>
      </c>
      <c r="D73" s="27">
        <v>35328</v>
      </c>
      <c r="E73" s="27">
        <v>35334</v>
      </c>
      <c r="F73" s="26" t="s">
        <v>243</v>
      </c>
      <c r="G73" s="28">
        <v>27.159</v>
      </c>
      <c r="H73" s="29" t="s">
        <v>154</v>
      </c>
    </row>
    <row r="74" spans="1:8">
      <c r="A74" s="20">
        <v>10312</v>
      </c>
      <c r="B74" s="21" t="s">
        <v>161</v>
      </c>
      <c r="C74" s="21" t="s">
        <v>477</v>
      </c>
      <c r="D74" s="22">
        <v>35331</v>
      </c>
      <c r="E74" s="22">
        <v>35341</v>
      </c>
      <c r="F74" s="21" t="s">
        <v>136</v>
      </c>
      <c r="G74" s="23">
        <v>44.286</v>
      </c>
      <c r="H74" s="24" t="s">
        <v>150</v>
      </c>
    </row>
    <row r="75" spans="1:8">
      <c r="A75" s="25">
        <v>10313</v>
      </c>
      <c r="B75" s="26" t="s">
        <v>151</v>
      </c>
      <c r="C75" s="26" t="s">
        <v>477</v>
      </c>
      <c r="D75" s="27">
        <v>35332</v>
      </c>
      <c r="E75" s="27">
        <v>35342</v>
      </c>
      <c r="F75" s="26" t="s">
        <v>136</v>
      </c>
      <c r="G75" s="28">
        <v>2.156</v>
      </c>
      <c r="H75" s="29" t="s">
        <v>150</v>
      </c>
    </row>
    <row r="76" spans="1:8">
      <c r="A76" s="20">
        <v>10314</v>
      </c>
      <c r="B76" s="21" t="s">
        <v>146</v>
      </c>
      <c r="C76" s="21" t="s">
        <v>475</v>
      </c>
      <c r="D76" s="22">
        <v>35333</v>
      </c>
      <c r="E76" s="22">
        <v>35342</v>
      </c>
      <c r="F76" s="21" t="s">
        <v>136</v>
      </c>
      <c r="G76" s="23">
        <v>81.576</v>
      </c>
      <c r="H76" s="24" t="s">
        <v>145</v>
      </c>
    </row>
    <row r="77" spans="1:8">
      <c r="A77" s="25">
        <v>10315</v>
      </c>
      <c r="B77" s="26" t="s">
        <v>168</v>
      </c>
      <c r="C77" s="26" t="s">
        <v>472</v>
      </c>
      <c r="D77" s="27">
        <v>35334</v>
      </c>
      <c r="E77" s="27">
        <v>35341</v>
      </c>
      <c r="F77" s="26" t="s">
        <v>136</v>
      </c>
      <c r="G77" s="28">
        <v>45.936</v>
      </c>
      <c r="H77" s="29" t="s">
        <v>169</v>
      </c>
    </row>
    <row r="78" spans="1:8">
      <c r="A78" s="20">
        <v>10316</v>
      </c>
      <c r="B78" s="21" t="s">
        <v>146</v>
      </c>
      <c r="C78" s="21" t="s">
        <v>475</v>
      </c>
      <c r="D78" s="22">
        <v>35335</v>
      </c>
      <c r="E78" s="22">
        <v>35346</v>
      </c>
      <c r="F78" s="21" t="s">
        <v>243</v>
      </c>
      <c r="G78" s="23">
        <v>165.165</v>
      </c>
      <c r="H78" s="24" t="s">
        <v>145</v>
      </c>
    </row>
    <row r="79" spans="1:8">
      <c r="A79" s="25">
        <v>10317</v>
      </c>
      <c r="B79" s="26" t="s">
        <v>166</v>
      </c>
      <c r="C79" s="26" t="s">
        <v>471</v>
      </c>
      <c r="D79" s="27">
        <v>35338</v>
      </c>
      <c r="E79" s="27">
        <v>35348</v>
      </c>
      <c r="F79" s="26" t="s">
        <v>249</v>
      </c>
      <c r="G79" s="28">
        <v>13.959</v>
      </c>
      <c r="H79" s="29" t="s">
        <v>145</v>
      </c>
    </row>
    <row r="80" spans="1:8">
      <c r="A80" s="20">
        <v>10318</v>
      </c>
      <c r="B80" s="21" t="s">
        <v>168</v>
      </c>
      <c r="C80" s="21" t="s">
        <v>476</v>
      </c>
      <c r="D80" s="22">
        <v>35339</v>
      </c>
      <c r="E80" s="22">
        <v>35342</v>
      </c>
      <c r="F80" s="21" t="s">
        <v>136</v>
      </c>
      <c r="G80" s="23">
        <v>5.203</v>
      </c>
      <c r="H80" s="24" t="s">
        <v>169</v>
      </c>
    </row>
    <row r="81" spans="1:8">
      <c r="A81" s="25">
        <v>10319</v>
      </c>
      <c r="B81" s="26" t="s">
        <v>164</v>
      </c>
      <c r="C81" s="26" t="s">
        <v>478</v>
      </c>
      <c r="D81" s="27">
        <v>35340</v>
      </c>
      <c r="E81" s="27">
        <v>35349</v>
      </c>
      <c r="F81" s="26" t="s">
        <v>243</v>
      </c>
      <c r="G81" s="28">
        <v>70.95</v>
      </c>
      <c r="H81" s="29" t="s">
        <v>165</v>
      </c>
    </row>
    <row r="82" spans="1:8">
      <c r="A82" s="20">
        <v>10320</v>
      </c>
      <c r="B82" s="21" t="s">
        <v>190</v>
      </c>
      <c r="C82" s="21" t="s">
        <v>470</v>
      </c>
      <c r="D82" s="22">
        <v>35341</v>
      </c>
      <c r="E82" s="22">
        <v>35356</v>
      </c>
      <c r="F82" s="21" t="s">
        <v>243</v>
      </c>
      <c r="G82" s="23">
        <v>38.027</v>
      </c>
      <c r="H82" s="24" t="s">
        <v>191</v>
      </c>
    </row>
    <row r="83" spans="1:8">
      <c r="A83" s="25">
        <v>10321</v>
      </c>
      <c r="B83" s="26" t="s">
        <v>168</v>
      </c>
      <c r="C83" s="26" t="s">
        <v>473</v>
      </c>
      <c r="D83" s="27">
        <v>35341</v>
      </c>
      <c r="E83" s="27">
        <v>35349</v>
      </c>
      <c r="F83" s="26" t="s">
        <v>136</v>
      </c>
      <c r="G83" s="28">
        <v>3.773</v>
      </c>
      <c r="H83" s="29" t="s">
        <v>169</v>
      </c>
    </row>
    <row r="84" spans="1:8">
      <c r="A84" s="20">
        <v>10322</v>
      </c>
      <c r="B84" s="21" t="s">
        <v>205</v>
      </c>
      <c r="C84" s="21" t="s">
        <v>478</v>
      </c>
      <c r="D84" s="22">
        <v>35342</v>
      </c>
      <c r="E84" s="22">
        <v>35361</v>
      </c>
      <c r="F84" s="21" t="s">
        <v>243</v>
      </c>
      <c r="G84" s="23">
        <v>0.44</v>
      </c>
      <c r="H84" s="24" t="s">
        <v>165</v>
      </c>
    </row>
    <row r="85" spans="1:8">
      <c r="A85" s="25">
        <v>10323</v>
      </c>
      <c r="B85" s="26" t="s">
        <v>202</v>
      </c>
      <c r="C85" s="26" t="s">
        <v>472</v>
      </c>
      <c r="D85" s="27">
        <v>35345</v>
      </c>
      <c r="E85" s="27">
        <v>35352</v>
      </c>
      <c r="F85" s="26" t="s">
        <v>249</v>
      </c>
      <c r="G85" s="28">
        <v>5.368</v>
      </c>
      <c r="H85" s="29" t="s">
        <v>150</v>
      </c>
    </row>
    <row r="86" spans="1:8">
      <c r="A86" s="20">
        <v>10324</v>
      </c>
      <c r="B86" s="21" t="s">
        <v>197</v>
      </c>
      <c r="C86" s="21" t="s">
        <v>474</v>
      </c>
      <c r="D86" s="22">
        <v>35346</v>
      </c>
      <c r="E86" s="22">
        <v>35348</v>
      </c>
      <c r="F86" s="21" t="s">
        <v>249</v>
      </c>
      <c r="G86" s="23">
        <v>235.697</v>
      </c>
      <c r="H86" s="24" t="s">
        <v>145</v>
      </c>
    </row>
    <row r="87" spans="1:8">
      <c r="A87" s="25">
        <v>10325</v>
      </c>
      <c r="B87" s="26" t="s">
        <v>202</v>
      </c>
      <c r="C87" s="26" t="s">
        <v>475</v>
      </c>
      <c r="D87" s="27">
        <v>35347</v>
      </c>
      <c r="E87" s="27">
        <v>35352</v>
      </c>
      <c r="F87" s="26" t="s">
        <v>243</v>
      </c>
      <c r="G87" s="28">
        <v>71.346</v>
      </c>
      <c r="H87" s="29" t="s">
        <v>150</v>
      </c>
    </row>
    <row r="88" spans="1:8">
      <c r="A88" s="20">
        <v>10326</v>
      </c>
      <c r="B88" s="21" t="s">
        <v>170</v>
      </c>
      <c r="C88" s="21" t="s">
        <v>472</v>
      </c>
      <c r="D88" s="22">
        <v>35348</v>
      </c>
      <c r="E88" s="22">
        <v>35352</v>
      </c>
      <c r="F88" s="21" t="s">
        <v>136</v>
      </c>
      <c r="G88" s="23">
        <v>85.712</v>
      </c>
      <c r="H88" s="24" t="s">
        <v>163</v>
      </c>
    </row>
    <row r="89" spans="1:8">
      <c r="A89" s="25">
        <v>10327</v>
      </c>
      <c r="B89" s="26" t="s">
        <v>194</v>
      </c>
      <c r="C89" s="26" t="s">
        <v>477</v>
      </c>
      <c r="D89" s="27">
        <v>35349</v>
      </c>
      <c r="E89" s="27">
        <v>35352</v>
      </c>
      <c r="F89" s="26" t="s">
        <v>249</v>
      </c>
      <c r="G89" s="28">
        <v>69.696</v>
      </c>
      <c r="H89" s="29" t="s">
        <v>148</v>
      </c>
    </row>
    <row r="90" spans="1:8">
      <c r="A90" s="20">
        <v>10328</v>
      </c>
      <c r="B90" s="21" t="s">
        <v>203</v>
      </c>
      <c r="C90" s="21" t="s">
        <v>472</v>
      </c>
      <c r="D90" s="22">
        <v>35352</v>
      </c>
      <c r="E90" s="22">
        <v>35355</v>
      </c>
      <c r="F90" s="21" t="s">
        <v>243</v>
      </c>
      <c r="G90" s="23">
        <v>95.733</v>
      </c>
      <c r="H90" s="24" t="s">
        <v>175</v>
      </c>
    </row>
    <row r="91" spans="1:8">
      <c r="A91" s="25">
        <v>10329</v>
      </c>
      <c r="B91" s="26" t="s">
        <v>144</v>
      </c>
      <c r="C91" s="26" t="s">
        <v>472</v>
      </c>
      <c r="D91" s="27">
        <v>35353</v>
      </c>
      <c r="E91" s="27">
        <v>35361</v>
      </c>
      <c r="F91" s="26" t="s">
        <v>136</v>
      </c>
      <c r="G91" s="28">
        <v>210.837</v>
      </c>
      <c r="H91" s="29" t="s">
        <v>145</v>
      </c>
    </row>
    <row r="92" spans="1:8">
      <c r="A92" s="20">
        <v>10330</v>
      </c>
      <c r="B92" s="21" t="s">
        <v>211</v>
      </c>
      <c r="C92" s="21" t="s">
        <v>473</v>
      </c>
      <c r="D92" s="22">
        <v>35354</v>
      </c>
      <c r="E92" s="22">
        <v>35366</v>
      </c>
      <c r="F92" s="21" t="s">
        <v>249</v>
      </c>
      <c r="G92" s="23">
        <v>14.025</v>
      </c>
      <c r="H92" s="24" t="s">
        <v>208</v>
      </c>
    </row>
    <row r="93" spans="1:8">
      <c r="A93" s="25">
        <v>10331</v>
      </c>
      <c r="B93" s="26" t="s">
        <v>204</v>
      </c>
      <c r="C93" s="26" t="s">
        <v>474</v>
      </c>
      <c r="D93" s="27">
        <v>35354</v>
      </c>
      <c r="E93" s="27">
        <v>35359</v>
      </c>
      <c r="F93" s="26" t="s">
        <v>249</v>
      </c>
      <c r="G93" s="28">
        <v>11.209</v>
      </c>
      <c r="H93" s="29" t="s">
        <v>154</v>
      </c>
    </row>
    <row r="94" spans="1:8">
      <c r="A94" s="20">
        <v>10332</v>
      </c>
      <c r="B94" s="21" t="s">
        <v>171</v>
      </c>
      <c r="C94" s="21" t="s">
        <v>473</v>
      </c>
      <c r="D94" s="22">
        <v>35355</v>
      </c>
      <c r="E94" s="22">
        <v>35359</v>
      </c>
      <c r="F94" s="21" t="s">
        <v>136</v>
      </c>
      <c r="G94" s="23">
        <v>58.124</v>
      </c>
      <c r="H94" s="24" t="s">
        <v>172</v>
      </c>
    </row>
    <row r="95" spans="1:8">
      <c r="A95" s="25">
        <v>10333</v>
      </c>
      <c r="B95" s="26" t="s">
        <v>190</v>
      </c>
      <c r="C95" s="26" t="s">
        <v>470</v>
      </c>
      <c r="D95" s="27">
        <v>35356</v>
      </c>
      <c r="E95" s="27">
        <v>35363</v>
      </c>
      <c r="F95" s="26" t="s">
        <v>243</v>
      </c>
      <c r="G95" s="28">
        <v>0.649</v>
      </c>
      <c r="H95" s="29" t="s">
        <v>191</v>
      </c>
    </row>
    <row r="96" spans="1:8">
      <c r="A96" s="20">
        <v>10334</v>
      </c>
      <c r="B96" s="21" t="s">
        <v>173</v>
      </c>
      <c r="C96" s="21" t="s">
        <v>476</v>
      </c>
      <c r="D96" s="22">
        <v>35359</v>
      </c>
      <c r="E96" s="22">
        <v>35366</v>
      </c>
      <c r="F96" s="21" t="s">
        <v>136</v>
      </c>
      <c r="G96" s="23">
        <v>9.416</v>
      </c>
      <c r="H96" s="24" t="s">
        <v>154</v>
      </c>
    </row>
    <row r="97" spans="1:8">
      <c r="A97" s="25">
        <v>10335</v>
      </c>
      <c r="B97" s="26" t="s">
        <v>156</v>
      </c>
      <c r="C97" s="26" t="s">
        <v>478</v>
      </c>
      <c r="D97" s="27">
        <v>35360</v>
      </c>
      <c r="E97" s="27">
        <v>35362</v>
      </c>
      <c r="F97" s="26" t="s">
        <v>136</v>
      </c>
      <c r="G97" s="28">
        <v>46.321</v>
      </c>
      <c r="H97" s="29" t="s">
        <v>157</v>
      </c>
    </row>
    <row r="98" spans="1:8">
      <c r="A98" s="20">
        <v>10336</v>
      </c>
      <c r="B98" s="21" t="s">
        <v>174</v>
      </c>
      <c r="C98" s="21" t="s">
        <v>478</v>
      </c>
      <c r="D98" s="22">
        <v>35361</v>
      </c>
      <c r="E98" s="22">
        <v>35363</v>
      </c>
      <c r="F98" s="21" t="s">
        <v>136</v>
      </c>
      <c r="G98" s="23">
        <v>17.061</v>
      </c>
      <c r="H98" s="24" t="s">
        <v>175</v>
      </c>
    </row>
    <row r="99" spans="1:8">
      <c r="A99" s="25">
        <v>10337</v>
      </c>
      <c r="B99" s="26" t="s">
        <v>176</v>
      </c>
      <c r="C99" s="26" t="s">
        <v>472</v>
      </c>
      <c r="D99" s="27">
        <v>35362</v>
      </c>
      <c r="E99" s="27">
        <v>35367</v>
      </c>
      <c r="F99" s="26" t="s">
        <v>243</v>
      </c>
      <c r="G99" s="28">
        <v>119.086</v>
      </c>
      <c r="H99" s="29" t="s">
        <v>150</v>
      </c>
    </row>
    <row r="100" spans="1:8">
      <c r="A100" s="20">
        <v>10338</v>
      </c>
      <c r="B100" s="21" t="s">
        <v>198</v>
      </c>
      <c r="C100" s="21" t="s">
        <v>472</v>
      </c>
      <c r="D100" s="22">
        <v>35363</v>
      </c>
      <c r="E100" s="22">
        <v>35367</v>
      </c>
      <c r="F100" s="21" t="s">
        <v>243</v>
      </c>
      <c r="G100" s="23">
        <v>92.631</v>
      </c>
      <c r="H100" s="24" t="s">
        <v>145</v>
      </c>
    </row>
    <row r="101" spans="1:8">
      <c r="A101" s="25">
        <v>10339</v>
      </c>
      <c r="B101" s="26" t="s">
        <v>171</v>
      </c>
      <c r="C101" s="26" t="s">
        <v>477</v>
      </c>
      <c r="D101" s="27">
        <v>35366</v>
      </c>
      <c r="E101" s="27">
        <v>35373</v>
      </c>
      <c r="F101" s="26" t="s">
        <v>136</v>
      </c>
      <c r="G101" s="28">
        <v>17.226</v>
      </c>
      <c r="H101" s="29" t="s">
        <v>172</v>
      </c>
    </row>
    <row r="102" spans="1:8">
      <c r="A102" s="20">
        <v>10340</v>
      </c>
      <c r="B102" s="21" t="s">
        <v>204</v>
      </c>
      <c r="C102" s="21" t="s">
        <v>475</v>
      </c>
      <c r="D102" s="22">
        <v>35367</v>
      </c>
      <c r="E102" s="22">
        <v>35377</v>
      </c>
      <c r="F102" s="21" t="s">
        <v>243</v>
      </c>
      <c r="G102" s="23">
        <v>182.941</v>
      </c>
      <c r="H102" s="24" t="s">
        <v>154</v>
      </c>
    </row>
    <row r="103" spans="1:8">
      <c r="A103" s="25">
        <v>10341</v>
      </c>
      <c r="B103" s="26" t="s">
        <v>233</v>
      </c>
      <c r="C103" s="26" t="s">
        <v>478</v>
      </c>
      <c r="D103" s="27">
        <v>35367</v>
      </c>
      <c r="E103" s="27">
        <v>35374</v>
      </c>
      <c r="F103" s="26" t="s">
        <v>243</v>
      </c>
      <c r="G103" s="28">
        <v>29.458</v>
      </c>
      <c r="H103" s="29" t="s">
        <v>222</v>
      </c>
    </row>
    <row r="104" spans="1:8">
      <c r="A104" s="20">
        <v>10342</v>
      </c>
      <c r="B104" s="21" t="s">
        <v>176</v>
      </c>
      <c r="C104" s="21" t="s">
        <v>472</v>
      </c>
      <c r="D104" s="22">
        <v>35368</v>
      </c>
      <c r="E104" s="22">
        <v>35373</v>
      </c>
      <c r="F104" s="21" t="s">
        <v>136</v>
      </c>
      <c r="G104" s="23">
        <v>60.313</v>
      </c>
      <c r="H104" s="24" t="s">
        <v>150</v>
      </c>
    </row>
    <row r="105" spans="1:8">
      <c r="A105" s="25">
        <v>10343</v>
      </c>
      <c r="B105" s="26" t="s">
        <v>149</v>
      </c>
      <c r="C105" s="26" t="s">
        <v>472</v>
      </c>
      <c r="D105" s="27">
        <v>35369</v>
      </c>
      <c r="E105" s="27">
        <v>35375</v>
      </c>
      <c r="F105" s="26" t="s">
        <v>249</v>
      </c>
      <c r="G105" s="28">
        <v>121.407</v>
      </c>
      <c r="H105" s="29" t="s">
        <v>150</v>
      </c>
    </row>
    <row r="106" spans="1:8">
      <c r="A106" s="20">
        <v>10344</v>
      </c>
      <c r="B106" s="21" t="s">
        <v>177</v>
      </c>
      <c r="C106" s="21" t="s">
        <v>472</v>
      </c>
      <c r="D106" s="22">
        <v>35370</v>
      </c>
      <c r="E106" s="22">
        <v>35374</v>
      </c>
      <c r="F106" s="21" t="s">
        <v>136</v>
      </c>
      <c r="G106" s="23">
        <v>25.619</v>
      </c>
      <c r="H106" s="24" t="s">
        <v>145</v>
      </c>
    </row>
    <row r="107" spans="1:8">
      <c r="A107" s="25">
        <v>10345</v>
      </c>
      <c r="B107" s="26" t="s">
        <v>151</v>
      </c>
      <c r="C107" s="26" t="s">
        <v>477</v>
      </c>
      <c r="D107" s="27">
        <v>35373</v>
      </c>
      <c r="E107" s="27">
        <v>35380</v>
      </c>
      <c r="F107" s="26" t="s">
        <v>136</v>
      </c>
      <c r="G107" s="28">
        <v>273.966</v>
      </c>
      <c r="H107" s="29" t="s">
        <v>150</v>
      </c>
    </row>
    <row r="108" spans="1:8">
      <c r="A108" s="20">
        <v>10346</v>
      </c>
      <c r="B108" s="21" t="s">
        <v>146</v>
      </c>
      <c r="C108" s="21" t="s">
        <v>473</v>
      </c>
      <c r="D108" s="22">
        <v>35374</v>
      </c>
      <c r="E108" s="22">
        <v>35377</v>
      </c>
      <c r="F108" s="21" t="s">
        <v>243</v>
      </c>
      <c r="G108" s="23">
        <v>156.288</v>
      </c>
      <c r="H108" s="24" t="s">
        <v>145</v>
      </c>
    </row>
    <row r="109" spans="1:8">
      <c r="A109" s="25">
        <v>10347</v>
      </c>
      <c r="B109" s="26" t="s">
        <v>212</v>
      </c>
      <c r="C109" s="26" t="s">
        <v>472</v>
      </c>
      <c r="D109" s="27">
        <v>35375</v>
      </c>
      <c r="E109" s="27">
        <v>35377</v>
      </c>
      <c r="F109" s="26" t="s">
        <v>243</v>
      </c>
      <c r="G109" s="28">
        <v>3.41</v>
      </c>
      <c r="H109" s="29" t="s">
        <v>137</v>
      </c>
    </row>
    <row r="110" spans="1:8">
      <c r="A110" s="20">
        <v>10348</v>
      </c>
      <c r="B110" s="21" t="s">
        <v>161</v>
      </c>
      <c r="C110" s="21" t="s">
        <v>472</v>
      </c>
      <c r="D110" s="22">
        <v>35376</v>
      </c>
      <c r="E110" s="22">
        <v>35384</v>
      </c>
      <c r="F110" s="21" t="s">
        <v>136</v>
      </c>
      <c r="G110" s="23">
        <v>0.858</v>
      </c>
      <c r="H110" s="24" t="s">
        <v>150</v>
      </c>
    </row>
    <row r="111" spans="1:8">
      <c r="A111" s="25">
        <v>10349</v>
      </c>
      <c r="B111" s="26" t="s">
        <v>144</v>
      </c>
      <c r="C111" s="26" t="s">
        <v>478</v>
      </c>
      <c r="D111" s="27">
        <v>35377</v>
      </c>
      <c r="E111" s="27">
        <v>35384</v>
      </c>
      <c r="F111" s="26" t="s">
        <v>249</v>
      </c>
      <c r="G111" s="28">
        <v>9.493</v>
      </c>
      <c r="H111" s="29" t="s">
        <v>145</v>
      </c>
    </row>
    <row r="112" spans="1:8">
      <c r="A112" s="20">
        <v>10350</v>
      </c>
      <c r="B112" s="21" t="s">
        <v>178</v>
      </c>
      <c r="C112" s="21" t="s">
        <v>471</v>
      </c>
      <c r="D112" s="22">
        <v>35380</v>
      </c>
      <c r="E112" s="22">
        <v>35402</v>
      </c>
      <c r="F112" s="21" t="s">
        <v>136</v>
      </c>
      <c r="G112" s="23">
        <v>70.609</v>
      </c>
      <c r="H112" s="24" t="s">
        <v>154</v>
      </c>
    </row>
    <row r="113" spans="1:8">
      <c r="A113" s="25">
        <v>10351</v>
      </c>
      <c r="B113" s="26" t="s">
        <v>182</v>
      </c>
      <c r="C113" s="26" t="s">
        <v>475</v>
      </c>
      <c r="D113" s="27">
        <v>35380</v>
      </c>
      <c r="E113" s="27">
        <v>35389</v>
      </c>
      <c r="F113" s="26" t="s">
        <v>249</v>
      </c>
      <c r="G113" s="28">
        <v>178.563</v>
      </c>
      <c r="H113" s="29" t="s">
        <v>183</v>
      </c>
    </row>
    <row r="114" spans="1:8">
      <c r="A114" s="20">
        <v>10352</v>
      </c>
      <c r="B114" s="21" t="s">
        <v>203</v>
      </c>
      <c r="C114" s="21" t="s">
        <v>473</v>
      </c>
      <c r="D114" s="22">
        <v>35381</v>
      </c>
      <c r="E114" s="22">
        <v>35387</v>
      </c>
      <c r="F114" s="21" t="s">
        <v>243</v>
      </c>
      <c r="G114" s="23">
        <v>1.43</v>
      </c>
      <c r="H114" s="24" t="s">
        <v>175</v>
      </c>
    </row>
    <row r="115" spans="1:8">
      <c r="A115" s="25">
        <v>10353</v>
      </c>
      <c r="B115" s="26" t="s">
        <v>193</v>
      </c>
      <c r="C115" s="26" t="s">
        <v>478</v>
      </c>
      <c r="D115" s="27">
        <v>35382</v>
      </c>
      <c r="E115" s="27">
        <v>35394</v>
      </c>
      <c r="F115" s="26" t="s">
        <v>243</v>
      </c>
      <c r="G115" s="28">
        <v>396.693</v>
      </c>
      <c r="H115" s="29" t="s">
        <v>183</v>
      </c>
    </row>
    <row r="116" spans="1:8">
      <c r="A116" s="20">
        <v>10354</v>
      </c>
      <c r="B116" s="21" t="s">
        <v>205</v>
      </c>
      <c r="C116" s="21" t="s">
        <v>476</v>
      </c>
      <c r="D116" s="22">
        <v>35383</v>
      </c>
      <c r="E116" s="22">
        <v>35389</v>
      </c>
      <c r="F116" s="21" t="s">
        <v>243</v>
      </c>
      <c r="G116" s="23">
        <v>59.18</v>
      </c>
      <c r="H116" s="24" t="s">
        <v>165</v>
      </c>
    </row>
    <row r="117" spans="1:8">
      <c r="A117" s="25">
        <v>10355</v>
      </c>
      <c r="B117" s="26" t="s">
        <v>201</v>
      </c>
      <c r="C117" s="26" t="s">
        <v>471</v>
      </c>
      <c r="D117" s="27">
        <v>35384</v>
      </c>
      <c r="E117" s="27">
        <v>35389</v>
      </c>
      <c r="F117" s="26" t="s">
        <v>249</v>
      </c>
      <c r="G117" s="28">
        <v>46.145</v>
      </c>
      <c r="H117" s="29" t="s">
        <v>169</v>
      </c>
    </row>
    <row r="118" spans="1:8">
      <c r="A118" s="20">
        <v>10356</v>
      </c>
      <c r="B118" s="21" t="s">
        <v>161</v>
      </c>
      <c r="C118" s="21" t="s">
        <v>471</v>
      </c>
      <c r="D118" s="22">
        <v>35387</v>
      </c>
      <c r="E118" s="22">
        <v>35396</v>
      </c>
      <c r="F118" s="21" t="s">
        <v>136</v>
      </c>
      <c r="G118" s="23">
        <v>40.381</v>
      </c>
      <c r="H118" s="24" t="s">
        <v>150</v>
      </c>
    </row>
    <row r="119" spans="1:8">
      <c r="A119" s="25">
        <v>10357</v>
      </c>
      <c r="B119" s="26" t="s">
        <v>211</v>
      </c>
      <c r="C119" s="26" t="s">
        <v>475</v>
      </c>
      <c r="D119" s="27">
        <v>35388</v>
      </c>
      <c r="E119" s="27">
        <v>35401</v>
      </c>
      <c r="F119" s="26" t="s">
        <v>243</v>
      </c>
      <c r="G119" s="28">
        <v>38.368</v>
      </c>
      <c r="H119" s="29" t="s">
        <v>208</v>
      </c>
    </row>
    <row r="120" spans="1:8">
      <c r="A120" s="20">
        <v>10358</v>
      </c>
      <c r="B120" s="21" t="s">
        <v>178</v>
      </c>
      <c r="C120" s="21" t="s">
        <v>470</v>
      </c>
      <c r="D120" s="22">
        <v>35389</v>
      </c>
      <c r="E120" s="22">
        <v>35396</v>
      </c>
      <c r="F120" s="21" t="s">
        <v>249</v>
      </c>
      <c r="G120" s="23">
        <v>21.604</v>
      </c>
      <c r="H120" s="24" t="s">
        <v>154</v>
      </c>
    </row>
    <row r="121" spans="1:8">
      <c r="A121" s="25">
        <v>10359</v>
      </c>
      <c r="B121" s="26" t="s">
        <v>214</v>
      </c>
      <c r="C121" s="26" t="s">
        <v>470</v>
      </c>
      <c r="D121" s="27">
        <v>35390</v>
      </c>
      <c r="E121" s="27">
        <v>35395</v>
      </c>
      <c r="F121" s="26" t="s">
        <v>243</v>
      </c>
      <c r="G121" s="28">
        <v>317.273</v>
      </c>
      <c r="H121" s="29" t="s">
        <v>169</v>
      </c>
    </row>
    <row r="122" spans="1:8">
      <c r="A122" s="20">
        <v>10360</v>
      </c>
      <c r="B122" s="21" t="s">
        <v>155</v>
      </c>
      <c r="C122" s="21" t="s">
        <v>472</v>
      </c>
      <c r="D122" s="22">
        <v>35391</v>
      </c>
      <c r="E122" s="22">
        <v>35401</v>
      </c>
      <c r="F122" s="21" t="s">
        <v>243</v>
      </c>
      <c r="G122" s="23">
        <v>144.87</v>
      </c>
      <c r="H122" s="24" t="s">
        <v>154</v>
      </c>
    </row>
    <row r="123" spans="1:8">
      <c r="A123" s="25">
        <v>10361</v>
      </c>
      <c r="B123" s="26" t="s">
        <v>151</v>
      </c>
      <c r="C123" s="26" t="s">
        <v>475</v>
      </c>
      <c r="D123" s="27">
        <v>35391</v>
      </c>
      <c r="E123" s="27">
        <v>35402</v>
      </c>
      <c r="F123" s="26" t="s">
        <v>136</v>
      </c>
      <c r="G123" s="28">
        <v>201.487</v>
      </c>
      <c r="H123" s="29" t="s">
        <v>150</v>
      </c>
    </row>
    <row r="124" spans="1:8">
      <c r="A124" s="20">
        <v>10362</v>
      </c>
      <c r="B124" s="21" t="s">
        <v>204</v>
      </c>
      <c r="C124" s="21" t="s">
        <v>473</v>
      </c>
      <c r="D124" s="22">
        <v>35394</v>
      </c>
      <c r="E124" s="22">
        <v>35397</v>
      </c>
      <c r="F124" s="21" t="s">
        <v>249</v>
      </c>
      <c r="G124" s="23">
        <v>105.644</v>
      </c>
      <c r="H124" s="24" t="s">
        <v>154</v>
      </c>
    </row>
    <row r="125" spans="1:8">
      <c r="A125" s="25">
        <v>10363</v>
      </c>
      <c r="B125" s="26" t="s">
        <v>232</v>
      </c>
      <c r="C125" s="26" t="s">
        <v>472</v>
      </c>
      <c r="D125" s="27">
        <v>35395</v>
      </c>
      <c r="E125" s="27">
        <v>35403</v>
      </c>
      <c r="F125" s="26" t="s">
        <v>243</v>
      </c>
      <c r="G125" s="28">
        <v>33.594</v>
      </c>
      <c r="H125" s="29" t="s">
        <v>150</v>
      </c>
    </row>
    <row r="126" spans="1:8">
      <c r="A126" s="20">
        <v>10364</v>
      </c>
      <c r="B126" s="21" t="s">
        <v>240</v>
      </c>
      <c r="C126" s="21" t="s">
        <v>475</v>
      </c>
      <c r="D126" s="22">
        <v>35395</v>
      </c>
      <c r="E126" s="22">
        <v>35403</v>
      </c>
      <c r="F126" s="21" t="s">
        <v>249</v>
      </c>
      <c r="G126" s="23">
        <v>79.167</v>
      </c>
      <c r="H126" s="24" t="s">
        <v>169</v>
      </c>
    </row>
    <row r="127" spans="1:8">
      <c r="A127" s="25">
        <v>10365</v>
      </c>
      <c r="B127" s="26" t="s">
        <v>179</v>
      </c>
      <c r="C127" s="26" t="s">
        <v>473</v>
      </c>
      <c r="D127" s="27">
        <v>35396</v>
      </c>
      <c r="E127" s="27">
        <v>35401</v>
      </c>
      <c r="F127" s="26" t="s">
        <v>136</v>
      </c>
      <c r="G127" s="28">
        <v>24.2</v>
      </c>
      <c r="H127" s="29" t="s">
        <v>165</v>
      </c>
    </row>
    <row r="128" spans="1:8">
      <c r="A128" s="20">
        <v>10366</v>
      </c>
      <c r="B128" s="21" t="s">
        <v>180</v>
      </c>
      <c r="C128" s="21" t="s">
        <v>476</v>
      </c>
      <c r="D128" s="22">
        <v>35397</v>
      </c>
      <c r="E128" s="22">
        <v>35429</v>
      </c>
      <c r="F128" s="21" t="s">
        <v>136</v>
      </c>
      <c r="G128" s="23">
        <v>11.154</v>
      </c>
      <c r="H128" s="24" t="s">
        <v>163</v>
      </c>
    </row>
    <row r="129" spans="1:8">
      <c r="A129" s="25">
        <v>10367</v>
      </c>
      <c r="B129" s="26" t="s">
        <v>221</v>
      </c>
      <c r="C129" s="26" t="s">
        <v>478</v>
      </c>
      <c r="D129" s="27">
        <v>35397</v>
      </c>
      <c r="E129" s="27">
        <v>35401</v>
      </c>
      <c r="F129" s="26" t="s">
        <v>243</v>
      </c>
      <c r="G129" s="28">
        <v>14.905</v>
      </c>
      <c r="H129" s="29" t="s">
        <v>222</v>
      </c>
    </row>
    <row r="130" spans="1:8">
      <c r="A130" s="20">
        <v>10368</v>
      </c>
      <c r="B130" s="21" t="s">
        <v>182</v>
      </c>
      <c r="C130" s="21" t="s">
        <v>477</v>
      </c>
      <c r="D130" s="22">
        <v>35398</v>
      </c>
      <c r="E130" s="22">
        <v>35401</v>
      </c>
      <c r="F130" s="21" t="s">
        <v>136</v>
      </c>
      <c r="G130" s="23">
        <v>112.145</v>
      </c>
      <c r="H130" s="24" t="s">
        <v>183</v>
      </c>
    </row>
    <row r="131" spans="1:8">
      <c r="A131" s="25">
        <v>10369</v>
      </c>
      <c r="B131" s="26" t="s">
        <v>144</v>
      </c>
      <c r="C131" s="26" t="s">
        <v>476</v>
      </c>
      <c r="D131" s="27">
        <v>35401</v>
      </c>
      <c r="E131" s="27">
        <v>35408</v>
      </c>
      <c r="F131" s="26" t="s">
        <v>136</v>
      </c>
      <c r="G131" s="28">
        <v>215.248</v>
      </c>
      <c r="H131" s="29" t="s">
        <v>145</v>
      </c>
    </row>
    <row r="132" spans="1:8">
      <c r="A132" s="20">
        <v>10370</v>
      </c>
      <c r="B132" s="21" t="s">
        <v>140</v>
      </c>
      <c r="C132" s="21" t="s">
        <v>471</v>
      </c>
      <c r="D132" s="22">
        <v>35402</v>
      </c>
      <c r="E132" s="22">
        <v>35426</v>
      </c>
      <c r="F132" s="21" t="s">
        <v>136</v>
      </c>
      <c r="G132" s="23">
        <v>1.287</v>
      </c>
      <c r="H132" s="24" t="s">
        <v>141</v>
      </c>
    </row>
    <row r="133" spans="1:8">
      <c r="A133" s="25">
        <v>10371</v>
      </c>
      <c r="B133" s="26" t="s">
        <v>178</v>
      </c>
      <c r="C133" s="26" t="s">
        <v>475</v>
      </c>
      <c r="D133" s="27">
        <v>35402</v>
      </c>
      <c r="E133" s="27">
        <v>35423</v>
      </c>
      <c r="F133" s="26" t="s">
        <v>249</v>
      </c>
      <c r="G133" s="28">
        <v>0.495</v>
      </c>
      <c r="H133" s="29" t="s">
        <v>154</v>
      </c>
    </row>
    <row r="134" spans="1:8">
      <c r="A134" s="20">
        <v>10372</v>
      </c>
      <c r="B134" s="21" t="s">
        <v>184</v>
      </c>
      <c r="C134" s="21" t="s">
        <v>470</v>
      </c>
      <c r="D134" s="22">
        <v>35403</v>
      </c>
      <c r="E134" s="22">
        <v>35408</v>
      </c>
      <c r="F134" s="21" t="s">
        <v>136</v>
      </c>
      <c r="G134" s="23">
        <v>979.858</v>
      </c>
      <c r="H134" s="24" t="s">
        <v>137</v>
      </c>
    </row>
    <row r="135" spans="1:8">
      <c r="A135" s="25">
        <v>10373</v>
      </c>
      <c r="B135" s="26" t="s">
        <v>156</v>
      </c>
      <c r="C135" s="26" t="s">
        <v>472</v>
      </c>
      <c r="D135" s="27">
        <v>35404</v>
      </c>
      <c r="E135" s="27">
        <v>35410</v>
      </c>
      <c r="F135" s="26" t="s">
        <v>243</v>
      </c>
      <c r="G135" s="28">
        <v>136.532</v>
      </c>
      <c r="H135" s="29" t="s">
        <v>157</v>
      </c>
    </row>
    <row r="136" spans="1:8">
      <c r="A136" s="20">
        <v>10374</v>
      </c>
      <c r="B136" s="21" t="s">
        <v>224</v>
      </c>
      <c r="C136" s="21" t="s">
        <v>475</v>
      </c>
      <c r="D136" s="22">
        <v>35404</v>
      </c>
      <c r="E136" s="22">
        <v>35408</v>
      </c>
      <c r="F136" s="21" t="s">
        <v>243</v>
      </c>
      <c r="G136" s="23">
        <v>4.334</v>
      </c>
      <c r="H136" s="24" t="s">
        <v>226</v>
      </c>
    </row>
    <row r="137" spans="1:8">
      <c r="A137" s="25">
        <v>10375</v>
      </c>
      <c r="B137" s="26" t="s">
        <v>185</v>
      </c>
      <c r="C137" s="26" t="s">
        <v>473</v>
      </c>
      <c r="D137" s="27">
        <v>35405</v>
      </c>
      <c r="E137" s="27">
        <v>35408</v>
      </c>
      <c r="F137" s="26" t="s">
        <v>136</v>
      </c>
      <c r="G137" s="28">
        <v>22.132</v>
      </c>
      <c r="H137" s="29" t="s">
        <v>145</v>
      </c>
    </row>
    <row r="138" spans="1:8">
      <c r="A138" s="20">
        <v>10376</v>
      </c>
      <c r="B138" s="21" t="s">
        <v>171</v>
      </c>
      <c r="C138" s="21" t="s">
        <v>475</v>
      </c>
      <c r="D138" s="22">
        <v>35408</v>
      </c>
      <c r="E138" s="22">
        <v>35412</v>
      </c>
      <c r="F138" s="21" t="s">
        <v>136</v>
      </c>
      <c r="G138" s="23">
        <v>22.429</v>
      </c>
      <c r="H138" s="24" t="s">
        <v>172</v>
      </c>
    </row>
    <row r="139" spans="1:8">
      <c r="A139" s="25">
        <v>10377</v>
      </c>
      <c r="B139" s="26" t="s">
        <v>214</v>
      </c>
      <c r="C139" s="26" t="s">
        <v>475</v>
      </c>
      <c r="D139" s="27">
        <v>35408</v>
      </c>
      <c r="E139" s="27">
        <v>35412</v>
      </c>
      <c r="F139" s="26" t="s">
        <v>243</v>
      </c>
      <c r="G139" s="28">
        <v>24.431</v>
      </c>
      <c r="H139" s="29" t="s">
        <v>169</v>
      </c>
    </row>
    <row r="140" spans="1:8">
      <c r="A140" s="20">
        <v>10378</v>
      </c>
      <c r="B140" s="21" t="s">
        <v>194</v>
      </c>
      <c r="C140" s="21" t="s">
        <v>470</v>
      </c>
      <c r="D140" s="22">
        <v>35409</v>
      </c>
      <c r="E140" s="22">
        <v>35418</v>
      </c>
      <c r="F140" s="21" t="s">
        <v>243</v>
      </c>
      <c r="G140" s="23">
        <v>5.984</v>
      </c>
      <c r="H140" s="24" t="s">
        <v>148</v>
      </c>
    </row>
    <row r="141" spans="1:8">
      <c r="A141" s="25">
        <v>10379</v>
      </c>
      <c r="B141" s="26" t="s">
        <v>143</v>
      </c>
      <c r="C141" s="26" t="s">
        <v>477</v>
      </c>
      <c r="D141" s="27">
        <v>35410</v>
      </c>
      <c r="E141" s="27">
        <v>35412</v>
      </c>
      <c r="F141" s="26" t="s">
        <v>249</v>
      </c>
      <c r="G141" s="28">
        <v>49.533</v>
      </c>
      <c r="H141" s="29" t="s">
        <v>137</v>
      </c>
    </row>
    <row r="142" spans="1:8">
      <c r="A142" s="20">
        <v>10380</v>
      </c>
      <c r="B142" s="21" t="s">
        <v>156</v>
      </c>
      <c r="C142" s="21" t="s">
        <v>476</v>
      </c>
      <c r="D142" s="22">
        <v>35411</v>
      </c>
      <c r="E142" s="22">
        <v>35446</v>
      </c>
      <c r="F142" s="21" t="s">
        <v>243</v>
      </c>
      <c r="G142" s="23">
        <v>38.533</v>
      </c>
      <c r="H142" s="24" t="s">
        <v>157</v>
      </c>
    </row>
    <row r="143" spans="1:8">
      <c r="A143" s="25">
        <v>10381</v>
      </c>
      <c r="B143" s="26" t="s">
        <v>211</v>
      </c>
      <c r="C143" s="26" t="s">
        <v>473</v>
      </c>
      <c r="D143" s="27">
        <v>35411</v>
      </c>
      <c r="E143" s="27">
        <v>35412</v>
      </c>
      <c r="F143" s="26" t="s">
        <v>243</v>
      </c>
      <c r="G143" s="28">
        <v>8.789</v>
      </c>
      <c r="H143" s="29" t="s">
        <v>208</v>
      </c>
    </row>
    <row r="144" spans="1:8">
      <c r="A144" s="20">
        <v>10382</v>
      </c>
      <c r="B144" s="21" t="s">
        <v>182</v>
      </c>
      <c r="C144" s="21" t="s">
        <v>472</v>
      </c>
      <c r="D144" s="22">
        <v>35412</v>
      </c>
      <c r="E144" s="22">
        <v>35415</v>
      </c>
      <c r="F144" s="21" t="s">
        <v>249</v>
      </c>
      <c r="G144" s="23">
        <v>104.247</v>
      </c>
      <c r="H144" s="24" t="s">
        <v>183</v>
      </c>
    </row>
    <row r="145" spans="1:8">
      <c r="A145" s="25">
        <v>10383</v>
      </c>
      <c r="B145" s="26" t="s">
        <v>201</v>
      </c>
      <c r="C145" s="26" t="s">
        <v>476</v>
      </c>
      <c r="D145" s="27">
        <v>35415</v>
      </c>
      <c r="E145" s="27">
        <v>35417</v>
      </c>
      <c r="F145" s="26" t="s">
        <v>243</v>
      </c>
      <c r="G145" s="28">
        <v>37.664</v>
      </c>
      <c r="H145" s="29" t="s">
        <v>169</v>
      </c>
    </row>
    <row r="146" spans="1:8">
      <c r="A146" s="20">
        <v>10384</v>
      </c>
      <c r="B146" s="21" t="s">
        <v>147</v>
      </c>
      <c r="C146" s="21" t="s">
        <v>473</v>
      </c>
      <c r="D146" s="22">
        <v>35415</v>
      </c>
      <c r="E146" s="22">
        <v>35419</v>
      </c>
      <c r="F146" s="21" t="s">
        <v>243</v>
      </c>
      <c r="G146" s="23">
        <v>185.504</v>
      </c>
      <c r="H146" s="24" t="s">
        <v>148</v>
      </c>
    </row>
    <row r="147" spans="1:8">
      <c r="A147" s="25">
        <v>10385</v>
      </c>
      <c r="B147" s="26" t="s">
        <v>144</v>
      </c>
      <c r="C147" s="26" t="s">
        <v>475</v>
      </c>
      <c r="D147" s="27">
        <v>35416</v>
      </c>
      <c r="E147" s="27">
        <v>35422</v>
      </c>
      <c r="F147" s="26" t="s">
        <v>136</v>
      </c>
      <c r="G147" s="28">
        <v>34.056</v>
      </c>
      <c r="H147" s="29" t="s">
        <v>145</v>
      </c>
    </row>
    <row r="148" spans="1:8">
      <c r="A148" s="20">
        <v>10386</v>
      </c>
      <c r="B148" s="21" t="s">
        <v>212</v>
      </c>
      <c r="C148" s="21" t="s">
        <v>474</v>
      </c>
      <c r="D148" s="22">
        <v>35417</v>
      </c>
      <c r="E148" s="22">
        <v>35424</v>
      </c>
      <c r="F148" s="21" t="s">
        <v>243</v>
      </c>
      <c r="G148" s="23">
        <v>15.389</v>
      </c>
      <c r="H148" s="24" t="s">
        <v>137</v>
      </c>
    </row>
    <row r="149" spans="1:8">
      <c r="A149" s="25">
        <v>10387</v>
      </c>
      <c r="B149" s="26" t="s">
        <v>186</v>
      </c>
      <c r="C149" s="26" t="s">
        <v>475</v>
      </c>
      <c r="D149" s="27">
        <v>35417</v>
      </c>
      <c r="E149" s="27">
        <v>35419</v>
      </c>
      <c r="F149" s="26" t="s">
        <v>136</v>
      </c>
      <c r="G149" s="28">
        <v>102.993</v>
      </c>
      <c r="H149" s="29" t="s">
        <v>187</v>
      </c>
    </row>
    <row r="150" spans="1:8">
      <c r="A150" s="20">
        <v>10388</v>
      </c>
      <c r="B150" s="21" t="s">
        <v>214</v>
      </c>
      <c r="C150" s="21" t="s">
        <v>477</v>
      </c>
      <c r="D150" s="22">
        <v>35418</v>
      </c>
      <c r="E150" s="22">
        <v>35419</v>
      </c>
      <c r="F150" s="21" t="s">
        <v>249</v>
      </c>
      <c r="G150" s="23">
        <v>38.346</v>
      </c>
      <c r="H150" s="24" t="s">
        <v>169</v>
      </c>
    </row>
    <row r="151" spans="1:8">
      <c r="A151" s="25">
        <v>10389</v>
      </c>
      <c r="B151" s="26" t="s">
        <v>188</v>
      </c>
      <c r="C151" s="26" t="s">
        <v>472</v>
      </c>
      <c r="D151" s="27">
        <v>35419</v>
      </c>
      <c r="E151" s="27">
        <v>35423</v>
      </c>
      <c r="F151" s="26" t="s">
        <v>136</v>
      </c>
      <c r="G151" s="28">
        <v>52.162</v>
      </c>
      <c r="H151" s="29" t="s">
        <v>172</v>
      </c>
    </row>
    <row r="152" spans="1:8">
      <c r="A152" s="20">
        <v>10390</v>
      </c>
      <c r="B152" s="21" t="s">
        <v>182</v>
      </c>
      <c r="C152" s="21" t="s">
        <v>471</v>
      </c>
      <c r="D152" s="22">
        <v>35422</v>
      </c>
      <c r="E152" s="22">
        <v>35425</v>
      </c>
      <c r="F152" s="21" t="s">
        <v>249</v>
      </c>
      <c r="G152" s="23">
        <v>139.018</v>
      </c>
      <c r="H152" s="24" t="s">
        <v>183</v>
      </c>
    </row>
    <row r="153" spans="1:8">
      <c r="A153" s="25">
        <v>10391</v>
      </c>
      <c r="B153" s="26" t="s">
        <v>232</v>
      </c>
      <c r="C153" s="26" t="s">
        <v>473</v>
      </c>
      <c r="D153" s="27">
        <v>35422</v>
      </c>
      <c r="E153" s="27">
        <v>35430</v>
      </c>
      <c r="F153" s="26" t="s">
        <v>243</v>
      </c>
      <c r="G153" s="28">
        <v>5.995</v>
      </c>
      <c r="H153" s="29" t="s">
        <v>150</v>
      </c>
    </row>
    <row r="154" spans="1:8">
      <c r="A154" s="20">
        <v>10392</v>
      </c>
      <c r="B154" s="21" t="s">
        <v>193</v>
      </c>
      <c r="C154" s="21" t="s">
        <v>477</v>
      </c>
      <c r="D154" s="22">
        <v>35423</v>
      </c>
      <c r="E154" s="22">
        <v>35431</v>
      </c>
      <c r="F154" s="21" t="s">
        <v>243</v>
      </c>
      <c r="G154" s="23">
        <v>134.706</v>
      </c>
      <c r="H154" s="24" t="s">
        <v>183</v>
      </c>
    </row>
    <row r="155" spans="1:8">
      <c r="A155" s="25">
        <v>10393</v>
      </c>
      <c r="B155" s="26" t="s">
        <v>197</v>
      </c>
      <c r="C155" s="26" t="s">
        <v>475</v>
      </c>
      <c r="D155" s="27">
        <v>35424</v>
      </c>
      <c r="E155" s="27">
        <v>35433</v>
      </c>
      <c r="F155" s="26" t="s">
        <v>243</v>
      </c>
      <c r="G155" s="28">
        <v>139.216</v>
      </c>
      <c r="H155" s="29" t="s">
        <v>145</v>
      </c>
    </row>
    <row r="156" spans="1:8">
      <c r="A156" s="20">
        <v>10394</v>
      </c>
      <c r="B156" s="21" t="s">
        <v>185</v>
      </c>
      <c r="C156" s="21" t="s">
        <v>475</v>
      </c>
      <c r="D156" s="22">
        <v>35424</v>
      </c>
      <c r="E156" s="22">
        <v>35433</v>
      </c>
      <c r="F156" s="21" t="s">
        <v>243</v>
      </c>
      <c r="G156" s="23">
        <v>33.374</v>
      </c>
      <c r="H156" s="24" t="s">
        <v>145</v>
      </c>
    </row>
    <row r="157" spans="1:8">
      <c r="A157" s="25">
        <v>10395</v>
      </c>
      <c r="B157" s="26" t="s">
        <v>209</v>
      </c>
      <c r="C157" s="26" t="s">
        <v>471</v>
      </c>
      <c r="D157" s="27">
        <v>35425</v>
      </c>
      <c r="E157" s="27">
        <v>35433</v>
      </c>
      <c r="F157" s="26" t="s">
        <v>249</v>
      </c>
      <c r="G157" s="28">
        <v>202.851</v>
      </c>
      <c r="H157" s="29" t="s">
        <v>208</v>
      </c>
    </row>
    <row r="158" spans="1:8">
      <c r="A158" s="20">
        <v>10396</v>
      </c>
      <c r="B158" s="21" t="s">
        <v>176</v>
      </c>
      <c r="C158" s="21" t="s">
        <v>475</v>
      </c>
      <c r="D158" s="22">
        <v>35426</v>
      </c>
      <c r="E158" s="22">
        <v>35436</v>
      </c>
      <c r="F158" s="21" t="s">
        <v>243</v>
      </c>
      <c r="G158" s="23">
        <v>148.885</v>
      </c>
      <c r="H158" s="24" t="s">
        <v>150</v>
      </c>
    </row>
    <row r="159" spans="1:8">
      <c r="A159" s="25">
        <v>10397</v>
      </c>
      <c r="B159" s="26" t="s">
        <v>174</v>
      </c>
      <c r="C159" s="26" t="s">
        <v>470</v>
      </c>
      <c r="D159" s="27">
        <v>35426</v>
      </c>
      <c r="E159" s="27">
        <v>35432</v>
      </c>
      <c r="F159" s="26" t="s">
        <v>249</v>
      </c>
      <c r="G159" s="28">
        <v>66.286</v>
      </c>
      <c r="H159" s="29" t="s">
        <v>175</v>
      </c>
    </row>
    <row r="160" spans="1:8">
      <c r="A160" s="20">
        <v>10398</v>
      </c>
      <c r="B160" s="21" t="s">
        <v>197</v>
      </c>
      <c r="C160" s="21" t="s">
        <v>477</v>
      </c>
      <c r="D160" s="22">
        <v>35429</v>
      </c>
      <c r="E160" s="22">
        <v>35439</v>
      </c>
      <c r="F160" s="21" t="s">
        <v>243</v>
      </c>
      <c r="G160" s="23">
        <v>98.076</v>
      </c>
      <c r="H160" s="24" t="s">
        <v>145</v>
      </c>
    </row>
    <row r="161" spans="1:8">
      <c r="A161" s="25">
        <v>10399</v>
      </c>
      <c r="B161" s="26" t="s">
        <v>221</v>
      </c>
      <c r="C161" s="26" t="s">
        <v>476</v>
      </c>
      <c r="D161" s="27">
        <v>35430</v>
      </c>
      <c r="E161" s="27">
        <v>35438</v>
      </c>
      <c r="F161" s="26" t="s">
        <v>243</v>
      </c>
      <c r="G161" s="28">
        <v>30.096</v>
      </c>
      <c r="H161" s="29" t="s">
        <v>222</v>
      </c>
    </row>
    <row r="162" spans="1:8">
      <c r="A162" s="20">
        <v>10400</v>
      </c>
      <c r="B162" s="21" t="s">
        <v>240</v>
      </c>
      <c r="C162" s="21" t="s">
        <v>475</v>
      </c>
      <c r="D162" s="22">
        <v>35431</v>
      </c>
      <c r="E162" s="22">
        <v>35446</v>
      </c>
      <c r="F162" s="21" t="s">
        <v>243</v>
      </c>
      <c r="G162" s="23">
        <v>92.323</v>
      </c>
      <c r="H162" s="24" t="s">
        <v>169</v>
      </c>
    </row>
    <row r="163" spans="1:8">
      <c r="A163" s="25">
        <v>10401</v>
      </c>
      <c r="B163" s="26" t="s">
        <v>146</v>
      </c>
      <c r="C163" s="26" t="s">
        <v>475</v>
      </c>
      <c r="D163" s="27">
        <v>35431</v>
      </c>
      <c r="E163" s="27">
        <v>35440</v>
      </c>
      <c r="F163" s="26" t="s">
        <v>249</v>
      </c>
      <c r="G163" s="28">
        <v>13.761</v>
      </c>
      <c r="H163" s="29" t="s">
        <v>145</v>
      </c>
    </row>
    <row r="164" spans="1:8">
      <c r="A164" s="20">
        <v>10402</v>
      </c>
      <c r="B164" s="21" t="s">
        <v>182</v>
      </c>
      <c r="C164" s="21" t="s">
        <v>476</v>
      </c>
      <c r="D164" s="22">
        <v>35432</v>
      </c>
      <c r="E164" s="22">
        <v>35440</v>
      </c>
      <c r="F164" s="21" t="s">
        <v>136</v>
      </c>
      <c r="G164" s="23">
        <v>74.668</v>
      </c>
      <c r="H164" s="24" t="s">
        <v>183</v>
      </c>
    </row>
    <row r="165" spans="1:8">
      <c r="A165" s="25">
        <v>10403</v>
      </c>
      <c r="B165" s="26" t="s">
        <v>182</v>
      </c>
      <c r="C165" s="26" t="s">
        <v>472</v>
      </c>
      <c r="D165" s="27">
        <v>35433</v>
      </c>
      <c r="E165" s="27">
        <v>35439</v>
      </c>
      <c r="F165" s="26" t="s">
        <v>243</v>
      </c>
      <c r="G165" s="28">
        <v>81.169</v>
      </c>
      <c r="H165" s="29" t="s">
        <v>183</v>
      </c>
    </row>
    <row r="166" spans="1:8">
      <c r="A166" s="20">
        <v>10404</v>
      </c>
      <c r="B166" s="21" t="s">
        <v>159</v>
      </c>
      <c r="C166" s="21" t="s">
        <v>477</v>
      </c>
      <c r="D166" s="22">
        <v>35433</v>
      </c>
      <c r="E166" s="22">
        <v>35438</v>
      </c>
      <c r="F166" s="21" t="s">
        <v>249</v>
      </c>
      <c r="G166" s="23">
        <v>171.567</v>
      </c>
      <c r="H166" s="24" t="s">
        <v>160</v>
      </c>
    </row>
    <row r="167" spans="1:8">
      <c r="A167" s="25">
        <v>10405</v>
      </c>
      <c r="B167" s="26" t="s">
        <v>207</v>
      </c>
      <c r="C167" s="26" t="s">
        <v>475</v>
      </c>
      <c r="D167" s="27">
        <v>35436</v>
      </c>
      <c r="E167" s="27">
        <v>35452</v>
      </c>
      <c r="F167" s="26" t="s">
        <v>249</v>
      </c>
      <c r="G167" s="28">
        <v>38.302</v>
      </c>
      <c r="H167" s="29" t="s">
        <v>208</v>
      </c>
    </row>
    <row r="168" spans="1:8">
      <c r="A168" s="20">
        <v>10406</v>
      </c>
      <c r="B168" s="21" t="s">
        <v>184</v>
      </c>
      <c r="C168" s="21" t="s">
        <v>478</v>
      </c>
      <c r="D168" s="22">
        <v>35437</v>
      </c>
      <c r="E168" s="22">
        <v>35443</v>
      </c>
      <c r="F168" s="21" t="s">
        <v>249</v>
      </c>
      <c r="G168" s="23">
        <v>118.844</v>
      </c>
      <c r="H168" s="24" t="s">
        <v>137</v>
      </c>
    </row>
    <row r="169" spans="1:8">
      <c r="A169" s="25">
        <v>10407</v>
      </c>
      <c r="B169" s="26" t="s">
        <v>189</v>
      </c>
      <c r="C169" s="26" t="s">
        <v>477</v>
      </c>
      <c r="D169" s="27">
        <v>35437</v>
      </c>
      <c r="E169" s="27">
        <v>35460</v>
      </c>
      <c r="F169" s="26" t="s">
        <v>136</v>
      </c>
      <c r="G169" s="28">
        <v>100.628</v>
      </c>
      <c r="H169" s="29" t="s">
        <v>150</v>
      </c>
    </row>
    <row r="170" spans="1:8">
      <c r="A170" s="20">
        <v>10408</v>
      </c>
      <c r="B170" s="21" t="s">
        <v>206</v>
      </c>
      <c r="C170" s="21" t="s">
        <v>476</v>
      </c>
      <c r="D170" s="22">
        <v>35438</v>
      </c>
      <c r="E170" s="22">
        <v>35444</v>
      </c>
      <c r="F170" s="21" t="s">
        <v>249</v>
      </c>
      <c r="G170" s="23">
        <v>12.386</v>
      </c>
      <c r="H170" s="24" t="s">
        <v>154</v>
      </c>
    </row>
    <row r="171" spans="1:8">
      <c r="A171" s="25">
        <v>10409</v>
      </c>
      <c r="B171" s="26" t="s">
        <v>234</v>
      </c>
      <c r="C171" s="26" t="s">
        <v>473</v>
      </c>
      <c r="D171" s="27">
        <v>35439</v>
      </c>
      <c r="E171" s="27">
        <v>35444</v>
      </c>
      <c r="F171" s="26" t="s">
        <v>249</v>
      </c>
      <c r="G171" s="28">
        <v>32.813</v>
      </c>
      <c r="H171" s="29" t="s">
        <v>200</v>
      </c>
    </row>
    <row r="172" spans="1:8">
      <c r="A172" s="20">
        <v>10410</v>
      </c>
      <c r="B172" s="21" t="s">
        <v>188</v>
      </c>
      <c r="C172" s="21" t="s">
        <v>473</v>
      </c>
      <c r="D172" s="22">
        <v>35440</v>
      </c>
      <c r="E172" s="22">
        <v>35445</v>
      </c>
      <c r="F172" s="21" t="s">
        <v>243</v>
      </c>
      <c r="G172" s="23">
        <v>2.64</v>
      </c>
      <c r="H172" s="24" t="s">
        <v>172</v>
      </c>
    </row>
    <row r="173" spans="1:8">
      <c r="A173" s="25">
        <v>10411</v>
      </c>
      <c r="B173" s="26" t="s">
        <v>188</v>
      </c>
      <c r="C173" s="26" t="s">
        <v>474</v>
      </c>
      <c r="D173" s="27">
        <v>35440</v>
      </c>
      <c r="E173" s="27">
        <v>35451</v>
      </c>
      <c r="F173" s="26" t="s">
        <v>243</v>
      </c>
      <c r="G173" s="28">
        <v>26.015</v>
      </c>
      <c r="H173" s="29" t="s">
        <v>172</v>
      </c>
    </row>
    <row r="174" spans="1:8">
      <c r="A174" s="20">
        <v>10412</v>
      </c>
      <c r="B174" s="21" t="s">
        <v>190</v>
      </c>
      <c r="C174" s="21" t="s">
        <v>476</v>
      </c>
      <c r="D174" s="22">
        <v>35443</v>
      </c>
      <c r="E174" s="22">
        <v>35445</v>
      </c>
      <c r="F174" s="21" t="s">
        <v>136</v>
      </c>
      <c r="G174" s="23">
        <v>4.147</v>
      </c>
      <c r="H174" s="24" t="s">
        <v>191</v>
      </c>
    </row>
    <row r="175" spans="1:8">
      <c r="A175" s="25">
        <v>10413</v>
      </c>
      <c r="B175" s="26" t="s">
        <v>178</v>
      </c>
      <c r="C175" s="26" t="s">
        <v>473</v>
      </c>
      <c r="D175" s="27">
        <v>35444</v>
      </c>
      <c r="E175" s="27">
        <v>35446</v>
      </c>
      <c r="F175" s="26" t="s">
        <v>136</v>
      </c>
      <c r="G175" s="28">
        <v>105.226</v>
      </c>
      <c r="H175" s="29" t="s">
        <v>154</v>
      </c>
    </row>
    <row r="176" spans="1:8">
      <c r="A176" s="20">
        <v>10414</v>
      </c>
      <c r="B176" s="21" t="s">
        <v>212</v>
      </c>
      <c r="C176" s="21" t="s">
        <v>477</v>
      </c>
      <c r="D176" s="22">
        <v>35444</v>
      </c>
      <c r="E176" s="22">
        <v>35447</v>
      </c>
      <c r="F176" s="21" t="s">
        <v>243</v>
      </c>
      <c r="G176" s="23">
        <v>23.628</v>
      </c>
      <c r="H176" s="24" t="s">
        <v>137</v>
      </c>
    </row>
    <row r="177" spans="1:8">
      <c r="A177" s="25">
        <v>10415</v>
      </c>
      <c r="B177" s="26" t="s">
        <v>185</v>
      </c>
      <c r="C177" s="26" t="s">
        <v>473</v>
      </c>
      <c r="D177" s="27">
        <v>35445</v>
      </c>
      <c r="E177" s="27">
        <v>35454</v>
      </c>
      <c r="F177" s="26" t="s">
        <v>249</v>
      </c>
      <c r="G177" s="28">
        <v>0.22</v>
      </c>
      <c r="H177" s="29" t="s">
        <v>145</v>
      </c>
    </row>
    <row r="178" spans="1:8">
      <c r="A178" s="20">
        <v>10416</v>
      </c>
      <c r="B178" s="21" t="s">
        <v>190</v>
      </c>
      <c r="C178" s="21" t="s">
        <v>476</v>
      </c>
      <c r="D178" s="22">
        <v>35446</v>
      </c>
      <c r="E178" s="22">
        <v>35457</v>
      </c>
      <c r="F178" s="21" t="s">
        <v>243</v>
      </c>
      <c r="G178" s="23">
        <v>24.992</v>
      </c>
      <c r="H178" s="24" t="s">
        <v>191</v>
      </c>
    </row>
    <row r="179" spans="1:8">
      <c r="A179" s="25">
        <v>10417</v>
      </c>
      <c r="B179" s="26" t="s">
        <v>233</v>
      </c>
      <c r="C179" s="26" t="s">
        <v>472</v>
      </c>
      <c r="D179" s="27">
        <v>35446</v>
      </c>
      <c r="E179" s="27">
        <v>35458</v>
      </c>
      <c r="F179" s="26" t="s">
        <v>243</v>
      </c>
      <c r="G179" s="28">
        <v>77.319</v>
      </c>
      <c r="H179" s="29" t="s">
        <v>222</v>
      </c>
    </row>
    <row r="180" spans="1:8">
      <c r="A180" s="20">
        <v>10418</v>
      </c>
      <c r="B180" s="21" t="s">
        <v>151</v>
      </c>
      <c r="C180" s="21" t="s">
        <v>472</v>
      </c>
      <c r="D180" s="22">
        <v>35447</v>
      </c>
      <c r="E180" s="22">
        <v>35454</v>
      </c>
      <c r="F180" s="21" t="s">
        <v>249</v>
      </c>
      <c r="G180" s="23">
        <v>19.305</v>
      </c>
      <c r="H180" s="24" t="s">
        <v>150</v>
      </c>
    </row>
    <row r="181" spans="1:8">
      <c r="A181" s="25">
        <v>10419</v>
      </c>
      <c r="B181" s="26" t="s">
        <v>192</v>
      </c>
      <c r="C181" s="26" t="s">
        <v>472</v>
      </c>
      <c r="D181" s="27">
        <v>35450</v>
      </c>
      <c r="E181" s="27">
        <v>35460</v>
      </c>
      <c r="F181" s="26" t="s">
        <v>136</v>
      </c>
      <c r="G181" s="28">
        <v>151.085</v>
      </c>
      <c r="H181" s="29" t="s">
        <v>141</v>
      </c>
    </row>
    <row r="182" spans="1:8">
      <c r="A182" s="20">
        <v>10420</v>
      </c>
      <c r="B182" s="21" t="s">
        <v>142</v>
      </c>
      <c r="C182" s="21" t="s">
        <v>473</v>
      </c>
      <c r="D182" s="22">
        <v>35451</v>
      </c>
      <c r="E182" s="22">
        <v>35457</v>
      </c>
      <c r="F182" s="21" t="s">
        <v>249</v>
      </c>
      <c r="G182" s="23">
        <v>48.532</v>
      </c>
      <c r="H182" s="24" t="s">
        <v>137</v>
      </c>
    </row>
    <row r="183" spans="1:8">
      <c r="A183" s="25">
        <v>10421</v>
      </c>
      <c r="B183" s="26" t="s">
        <v>143</v>
      </c>
      <c r="C183" s="26" t="s">
        <v>476</v>
      </c>
      <c r="D183" s="27">
        <v>35451</v>
      </c>
      <c r="E183" s="27">
        <v>35457</v>
      </c>
      <c r="F183" s="26" t="s">
        <v>249</v>
      </c>
      <c r="G183" s="28">
        <v>109.153</v>
      </c>
      <c r="H183" s="29" t="s">
        <v>137</v>
      </c>
    </row>
    <row r="184" spans="1:8">
      <c r="A184" s="20">
        <v>10422</v>
      </c>
      <c r="B184" s="21" t="s">
        <v>241</v>
      </c>
      <c r="C184" s="21" t="s">
        <v>477</v>
      </c>
      <c r="D184" s="22">
        <v>35452</v>
      </c>
      <c r="E184" s="22">
        <v>35461</v>
      </c>
      <c r="F184" s="21" t="s">
        <v>249</v>
      </c>
      <c r="G184" s="23">
        <v>3.322</v>
      </c>
      <c r="H184" s="24" t="s">
        <v>160</v>
      </c>
    </row>
    <row r="185" spans="1:8">
      <c r="A185" s="25">
        <v>10423</v>
      </c>
      <c r="B185" s="26" t="s">
        <v>228</v>
      </c>
      <c r="C185" s="26" t="s">
        <v>471</v>
      </c>
      <c r="D185" s="27">
        <v>35453</v>
      </c>
      <c r="E185" s="27">
        <v>35485</v>
      </c>
      <c r="F185" s="26" t="s">
        <v>243</v>
      </c>
      <c r="G185" s="28">
        <v>26.95</v>
      </c>
      <c r="H185" s="29" t="s">
        <v>137</v>
      </c>
    </row>
    <row r="186" spans="1:8">
      <c r="A186" s="20">
        <v>10424</v>
      </c>
      <c r="B186" s="21" t="s">
        <v>171</v>
      </c>
      <c r="C186" s="21" t="s">
        <v>478</v>
      </c>
      <c r="D186" s="22">
        <v>35453</v>
      </c>
      <c r="E186" s="22">
        <v>35457</v>
      </c>
      <c r="F186" s="21" t="s">
        <v>136</v>
      </c>
      <c r="G186" s="23">
        <v>407.671</v>
      </c>
      <c r="H186" s="24" t="s">
        <v>172</v>
      </c>
    </row>
    <row r="187" spans="1:8">
      <c r="A187" s="25">
        <v>10425</v>
      </c>
      <c r="B187" s="26" t="s">
        <v>178</v>
      </c>
      <c r="C187" s="26" t="s">
        <v>471</v>
      </c>
      <c r="D187" s="27">
        <v>35454</v>
      </c>
      <c r="E187" s="27">
        <v>35475</v>
      </c>
      <c r="F187" s="26" t="s">
        <v>136</v>
      </c>
      <c r="G187" s="28">
        <v>8.723</v>
      </c>
      <c r="H187" s="29" t="s">
        <v>154</v>
      </c>
    </row>
    <row r="188" spans="1:8">
      <c r="A188" s="20">
        <v>10426</v>
      </c>
      <c r="B188" s="21" t="s">
        <v>180</v>
      </c>
      <c r="C188" s="21" t="s">
        <v>472</v>
      </c>
      <c r="D188" s="22">
        <v>35457</v>
      </c>
      <c r="E188" s="22">
        <v>35467</v>
      </c>
      <c r="F188" s="21" t="s">
        <v>249</v>
      </c>
      <c r="G188" s="23">
        <v>20.559</v>
      </c>
      <c r="H188" s="24" t="s">
        <v>163</v>
      </c>
    </row>
    <row r="189" spans="1:8">
      <c r="A189" s="25">
        <v>10427</v>
      </c>
      <c r="B189" s="26" t="s">
        <v>193</v>
      </c>
      <c r="C189" s="26" t="s">
        <v>472</v>
      </c>
      <c r="D189" s="27">
        <v>35457</v>
      </c>
      <c r="E189" s="27">
        <v>35492</v>
      </c>
      <c r="F189" s="26" t="s">
        <v>136</v>
      </c>
      <c r="G189" s="28">
        <v>34.419</v>
      </c>
      <c r="H189" s="29" t="s">
        <v>183</v>
      </c>
    </row>
    <row r="190" spans="1:8">
      <c r="A190" s="20">
        <v>10428</v>
      </c>
      <c r="B190" s="21" t="s">
        <v>229</v>
      </c>
      <c r="C190" s="21" t="s">
        <v>478</v>
      </c>
      <c r="D190" s="22">
        <v>35458</v>
      </c>
      <c r="E190" s="22">
        <v>35465</v>
      </c>
      <c r="F190" s="21" t="s">
        <v>249</v>
      </c>
      <c r="G190" s="23">
        <v>12.199</v>
      </c>
      <c r="H190" s="24" t="s">
        <v>160</v>
      </c>
    </row>
    <row r="191" spans="1:8">
      <c r="A191" s="25">
        <v>10429</v>
      </c>
      <c r="B191" s="26" t="s">
        <v>156</v>
      </c>
      <c r="C191" s="26" t="s">
        <v>473</v>
      </c>
      <c r="D191" s="27">
        <v>35459</v>
      </c>
      <c r="E191" s="27">
        <v>35468</v>
      </c>
      <c r="F191" s="26" t="s">
        <v>136</v>
      </c>
      <c r="G191" s="28">
        <v>62.293</v>
      </c>
      <c r="H191" s="29" t="s">
        <v>157</v>
      </c>
    </row>
    <row r="192" spans="1:8">
      <c r="A192" s="20">
        <v>10430</v>
      </c>
      <c r="B192" s="21" t="s">
        <v>182</v>
      </c>
      <c r="C192" s="21" t="s">
        <v>472</v>
      </c>
      <c r="D192" s="22">
        <v>35460</v>
      </c>
      <c r="E192" s="22">
        <v>35464</v>
      </c>
      <c r="F192" s="21" t="s">
        <v>249</v>
      </c>
      <c r="G192" s="23">
        <v>504.658</v>
      </c>
      <c r="H192" s="24" t="s">
        <v>183</v>
      </c>
    </row>
    <row r="193" spans="1:8">
      <c r="A193" s="25">
        <v>10431</v>
      </c>
      <c r="B193" s="26" t="s">
        <v>188</v>
      </c>
      <c r="C193" s="26" t="s">
        <v>472</v>
      </c>
      <c r="D193" s="27">
        <v>35460</v>
      </c>
      <c r="E193" s="27">
        <v>35468</v>
      </c>
      <c r="F193" s="26" t="s">
        <v>136</v>
      </c>
      <c r="G193" s="28">
        <v>48.587</v>
      </c>
      <c r="H193" s="29" t="s">
        <v>172</v>
      </c>
    </row>
    <row r="194" spans="1:8">
      <c r="A194" s="20">
        <v>10432</v>
      </c>
      <c r="B194" s="21" t="s">
        <v>144</v>
      </c>
      <c r="C194" s="21" t="s">
        <v>473</v>
      </c>
      <c r="D194" s="22">
        <v>35461</v>
      </c>
      <c r="E194" s="22">
        <v>35468</v>
      </c>
      <c r="F194" s="21" t="s">
        <v>136</v>
      </c>
      <c r="G194" s="23">
        <v>4.774</v>
      </c>
      <c r="H194" s="24" t="s">
        <v>145</v>
      </c>
    </row>
    <row r="195" spans="1:8">
      <c r="A195" s="25">
        <v>10433</v>
      </c>
      <c r="B195" s="26" t="s">
        <v>174</v>
      </c>
      <c r="C195" s="26" t="s">
        <v>473</v>
      </c>
      <c r="D195" s="27">
        <v>35464</v>
      </c>
      <c r="E195" s="27">
        <v>35493</v>
      </c>
      <c r="F195" s="26" t="s">
        <v>243</v>
      </c>
      <c r="G195" s="28">
        <v>81.213</v>
      </c>
      <c r="H195" s="29" t="s">
        <v>175</v>
      </c>
    </row>
    <row r="196" spans="1:8">
      <c r="A196" s="20">
        <v>10434</v>
      </c>
      <c r="B196" s="21" t="s">
        <v>194</v>
      </c>
      <c r="C196" s="21" t="s">
        <v>473</v>
      </c>
      <c r="D196" s="22">
        <v>35464</v>
      </c>
      <c r="E196" s="22">
        <v>35474</v>
      </c>
      <c r="F196" s="21" t="s">
        <v>136</v>
      </c>
      <c r="G196" s="23">
        <v>19.712</v>
      </c>
      <c r="H196" s="24" t="s">
        <v>148</v>
      </c>
    </row>
    <row r="197" spans="1:8">
      <c r="A197" s="25">
        <v>10435</v>
      </c>
      <c r="B197" s="26" t="s">
        <v>195</v>
      </c>
      <c r="C197" s="26" t="s">
        <v>476</v>
      </c>
      <c r="D197" s="27">
        <v>35465</v>
      </c>
      <c r="E197" s="27">
        <v>35468</v>
      </c>
      <c r="F197" s="26" t="s">
        <v>136</v>
      </c>
      <c r="G197" s="28">
        <v>10.131</v>
      </c>
      <c r="H197" s="29" t="s">
        <v>169</v>
      </c>
    </row>
    <row r="198" spans="1:8">
      <c r="A198" s="20">
        <v>10436</v>
      </c>
      <c r="B198" s="21" t="s">
        <v>155</v>
      </c>
      <c r="C198" s="21" t="s">
        <v>473</v>
      </c>
      <c r="D198" s="22">
        <v>35466</v>
      </c>
      <c r="E198" s="22">
        <v>35472</v>
      </c>
      <c r="F198" s="21" t="s">
        <v>136</v>
      </c>
      <c r="G198" s="23">
        <v>172.326</v>
      </c>
      <c r="H198" s="24" t="s">
        <v>154</v>
      </c>
    </row>
    <row r="199" spans="1:8">
      <c r="A199" s="25">
        <v>10437</v>
      </c>
      <c r="B199" s="26" t="s">
        <v>190</v>
      </c>
      <c r="C199" s="26" t="s">
        <v>476</v>
      </c>
      <c r="D199" s="27">
        <v>35466</v>
      </c>
      <c r="E199" s="27">
        <v>35473</v>
      </c>
      <c r="F199" s="26" t="s">
        <v>249</v>
      </c>
      <c r="G199" s="28">
        <v>21.967</v>
      </c>
      <c r="H199" s="29" t="s">
        <v>191</v>
      </c>
    </row>
    <row r="200" spans="1:8">
      <c r="A200" s="20">
        <v>10438</v>
      </c>
      <c r="B200" s="21" t="s">
        <v>196</v>
      </c>
      <c r="C200" s="21" t="s">
        <v>473</v>
      </c>
      <c r="D200" s="22">
        <v>35467</v>
      </c>
      <c r="E200" s="22">
        <v>35475</v>
      </c>
      <c r="F200" s="21" t="s">
        <v>136</v>
      </c>
      <c r="G200" s="23">
        <v>9.064</v>
      </c>
      <c r="H200" s="24" t="s">
        <v>150</v>
      </c>
    </row>
    <row r="201" spans="1:8">
      <c r="A201" s="25">
        <v>10439</v>
      </c>
      <c r="B201" s="26" t="s">
        <v>171</v>
      </c>
      <c r="C201" s="26" t="s">
        <v>471</v>
      </c>
      <c r="D201" s="27">
        <v>35468</v>
      </c>
      <c r="E201" s="27">
        <v>35471</v>
      </c>
      <c r="F201" s="26" t="s">
        <v>243</v>
      </c>
      <c r="G201" s="28">
        <v>4.477</v>
      </c>
      <c r="H201" s="29" t="s">
        <v>172</v>
      </c>
    </row>
    <row r="202" spans="1:8">
      <c r="A202" s="20">
        <v>10440</v>
      </c>
      <c r="B202" s="21" t="s">
        <v>197</v>
      </c>
      <c r="C202" s="21" t="s">
        <v>472</v>
      </c>
      <c r="D202" s="22">
        <v>35471</v>
      </c>
      <c r="E202" s="22">
        <v>35489</v>
      </c>
      <c r="F202" s="21" t="s">
        <v>136</v>
      </c>
      <c r="G202" s="23">
        <v>95.183</v>
      </c>
      <c r="H202" s="24" t="s">
        <v>145</v>
      </c>
    </row>
    <row r="203" spans="1:8">
      <c r="A203" s="25">
        <v>10441</v>
      </c>
      <c r="B203" s="26" t="s">
        <v>198</v>
      </c>
      <c r="C203" s="26" t="s">
        <v>473</v>
      </c>
      <c r="D203" s="27">
        <v>35471</v>
      </c>
      <c r="E203" s="27">
        <v>35503</v>
      </c>
      <c r="F203" s="26" t="s">
        <v>136</v>
      </c>
      <c r="G203" s="28">
        <v>80.322</v>
      </c>
      <c r="H203" s="29" t="s">
        <v>145</v>
      </c>
    </row>
    <row r="204" spans="1:8">
      <c r="A204" s="20">
        <v>10442</v>
      </c>
      <c r="B204" s="21" t="s">
        <v>182</v>
      </c>
      <c r="C204" s="21" t="s">
        <v>473</v>
      </c>
      <c r="D204" s="22">
        <v>35472</v>
      </c>
      <c r="E204" s="22">
        <v>35479</v>
      </c>
      <c r="F204" s="21" t="s">
        <v>136</v>
      </c>
      <c r="G204" s="23">
        <v>52.734</v>
      </c>
      <c r="H204" s="24" t="s">
        <v>183</v>
      </c>
    </row>
    <row r="205" spans="1:8">
      <c r="A205" s="25">
        <v>10443</v>
      </c>
      <c r="B205" s="26" t="s">
        <v>229</v>
      </c>
      <c r="C205" s="26" t="s">
        <v>476</v>
      </c>
      <c r="D205" s="27">
        <v>35473</v>
      </c>
      <c r="E205" s="27">
        <v>35475</v>
      </c>
      <c r="F205" s="26" t="s">
        <v>249</v>
      </c>
      <c r="G205" s="28">
        <v>15.345</v>
      </c>
      <c r="H205" s="29" t="s">
        <v>160</v>
      </c>
    </row>
    <row r="206" spans="1:8">
      <c r="A206" s="20">
        <v>10444</v>
      </c>
      <c r="B206" s="21" t="s">
        <v>147</v>
      </c>
      <c r="C206" s="21" t="s">
        <v>473</v>
      </c>
      <c r="D206" s="22">
        <v>35473</v>
      </c>
      <c r="E206" s="22">
        <v>35482</v>
      </c>
      <c r="F206" s="21" t="s">
        <v>243</v>
      </c>
      <c r="G206" s="23">
        <v>3.85</v>
      </c>
      <c r="H206" s="24" t="s">
        <v>148</v>
      </c>
    </row>
    <row r="207" spans="1:8">
      <c r="A207" s="25">
        <v>10445</v>
      </c>
      <c r="B207" s="26" t="s">
        <v>147</v>
      </c>
      <c r="C207" s="26" t="s">
        <v>473</v>
      </c>
      <c r="D207" s="27">
        <v>35474</v>
      </c>
      <c r="E207" s="27">
        <v>35481</v>
      </c>
      <c r="F207" s="26" t="s">
        <v>249</v>
      </c>
      <c r="G207" s="28">
        <v>10.23</v>
      </c>
      <c r="H207" s="29" t="s">
        <v>148</v>
      </c>
    </row>
    <row r="208" spans="1:8">
      <c r="A208" s="20">
        <v>10446</v>
      </c>
      <c r="B208" s="21" t="s">
        <v>196</v>
      </c>
      <c r="C208" s="21" t="s">
        <v>471</v>
      </c>
      <c r="D208" s="22">
        <v>35475</v>
      </c>
      <c r="E208" s="22">
        <v>35480</v>
      </c>
      <c r="F208" s="21" t="s">
        <v>249</v>
      </c>
      <c r="G208" s="23">
        <v>16.148</v>
      </c>
      <c r="H208" s="24" t="s">
        <v>150</v>
      </c>
    </row>
    <row r="209" spans="1:8">
      <c r="A209" s="25">
        <v>10447</v>
      </c>
      <c r="B209" s="26" t="s">
        <v>158</v>
      </c>
      <c r="C209" s="26" t="s">
        <v>472</v>
      </c>
      <c r="D209" s="27">
        <v>35475</v>
      </c>
      <c r="E209" s="27">
        <v>35496</v>
      </c>
      <c r="F209" s="26" t="s">
        <v>136</v>
      </c>
      <c r="G209" s="28">
        <v>75.526</v>
      </c>
      <c r="H209" s="29" t="s">
        <v>137</v>
      </c>
    </row>
    <row r="210" spans="1:8">
      <c r="A210" s="20">
        <v>10448</v>
      </c>
      <c r="B210" s="21" t="s">
        <v>199</v>
      </c>
      <c r="C210" s="21" t="s">
        <v>472</v>
      </c>
      <c r="D210" s="22">
        <v>35478</v>
      </c>
      <c r="E210" s="22">
        <v>35485</v>
      </c>
      <c r="F210" s="21" t="s">
        <v>136</v>
      </c>
      <c r="G210" s="23">
        <v>42.702</v>
      </c>
      <c r="H210" s="24" t="s">
        <v>200</v>
      </c>
    </row>
    <row r="211" spans="1:8">
      <c r="A211" s="25">
        <v>10449</v>
      </c>
      <c r="B211" s="26" t="s">
        <v>155</v>
      </c>
      <c r="C211" s="26" t="s">
        <v>473</v>
      </c>
      <c r="D211" s="27">
        <v>35479</v>
      </c>
      <c r="E211" s="27">
        <v>35488</v>
      </c>
      <c r="F211" s="26" t="s">
        <v>136</v>
      </c>
      <c r="G211" s="28">
        <v>58.63</v>
      </c>
      <c r="H211" s="29" t="s">
        <v>154</v>
      </c>
    </row>
    <row r="212" spans="1:8">
      <c r="A212" s="20">
        <v>10450</v>
      </c>
      <c r="B212" s="21" t="s">
        <v>173</v>
      </c>
      <c r="C212" s="21" t="s">
        <v>476</v>
      </c>
      <c r="D212" s="22">
        <v>35480</v>
      </c>
      <c r="E212" s="22">
        <v>35500</v>
      </c>
      <c r="F212" s="21" t="s">
        <v>136</v>
      </c>
      <c r="G212" s="23">
        <v>7.953</v>
      </c>
      <c r="H212" s="24" t="s">
        <v>154</v>
      </c>
    </row>
    <row r="213" spans="1:8">
      <c r="A213" s="25">
        <v>10451</v>
      </c>
      <c r="B213" s="26" t="s">
        <v>151</v>
      </c>
      <c r="C213" s="26" t="s">
        <v>472</v>
      </c>
      <c r="D213" s="27">
        <v>35480</v>
      </c>
      <c r="E213" s="27">
        <v>35501</v>
      </c>
      <c r="F213" s="26" t="s">
        <v>243</v>
      </c>
      <c r="G213" s="28">
        <v>207.999</v>
      </c>
      <c r="H213" s="29" t="s">
        <v>150</v>
      </c>
    </row>
    <row r="214" spans="1:8">
      <c r="A214" s="20">
        <v>10452</v>
      </c>
      <c r="B214" s="21" t="s">
        <v>197</v>
      </c>
      <c r="C214" s="21" t="s">
        <v>476</v>
      </c>
      <c r="D214" s="22">
        <v>35481</v>
      </c>
      <c r="E214" s="22">
        <v>35487</v>
      </c>
      <c r="F214" s="21" t="s">
        <v>249</v>
      </c>
      <c r="G214" s="23">
        <v>154.286</v>
      </c>
      <c r="H214" s="24" t="s">
        <v>145</v>
      </c>
    </row>
    <row r="215" spans="1:8">
      <c r="A215" s="25">
        <v>10453</v>
      </c>
      <c r="B215" s="26" t="s">
        <v>201</v>
      </c>
      <c r="C215" s="26" t="s">
        <v>475</v>
      </c>
      <c r="D215" s="27">
        <v>35482</v>
      </c>
      <c r="E215" s="27">
        <v>35487</v>
      </c>
      <c r="F215" s="26" t="s">
        <v>136</v>
      </c>
      <c r="G215" s="28">
        <v>27.896</v>
      </c>
      <c r="H215" s="29" t="s">
        <v>169</v>
      </c>
    </row>
    <row r="216" spans="1:8">
      <c r="A216" s="20">
        <v>10454</v>
      </c>
      <c r="B216" s="21" t="s">
        <v>178</v>
      </c>
      <c r="C216" s="21" t="s">
        <v>472</v>
      </c>
      <c r="D216" s="22">
        <v>35482</v>
      </c>
      <c r="E216" s="22">
        <v>35486</v>
      </c>
      <c r="F216" s="21" t="s">
        <v>243</v>
      </c>
      <c r="G216" s="23">
        <v>3.014</v>
      </c>
      <c r="H216" s="24" t="s">
        <v>154</v>
      </c>
    </row>
    <row r="217" spans="1:8">
      <c r="A217" s="25">
        <v>10455</v>
      </c>
      <c r="B217" s="26" t="s">
        <v>190</v>
      </c>
      <c r="C217" s="26" t="s">
        <v>476</v>
      </c>
      <c r="D217" s="27">
        <v>35485</v>
      </c>
      <c r="E217" s="27">
        <v>35492</v>
      </c>
      <c r="F217" s="26" t="s">
        <v>136</v>
      </c>
      <c r="G217" s="28">
        <v>198.495</v>
      </c>
      <c r="H217" s="29" t="s">
        <v>191</v>
      </c>
    </row>
    <row r="218" spans="1:8">
      <c r="A218" s="20">
        <v>10456</v>
      </c>
      <c r="B218" s="21" t="s">
        <v>202</v>
      </c>
      <c r="C218" s="21" t="s">
        <v>476</v>
      </c>
      <c r="D218" s="22">
        <v>35486</v>
      </c>
      <c r="E218" s="22">
        <v>35489</v>
      </c>
      <c r="F218" s="21" t="s">
        <v>136</v>
      </c>
      <c r="G218" s="23">
        <v>8.932</v>
      </c>
      <c r="H218" s="24" t="s">
        <v>150</v>
      </c>
    </row>
    <row r="219" spans="1:8">
      <c r="A219" s="25">
        <v>10457</v>
      </c>
      <c r="B219" s="26" t="s">
        <v>202</v>
      </c>
      <c r="C219" s="26" t="s">
        <v>477</v>
      </c>
      <c r="D219" s="27">
        <v>35486</v>
      </c>
      <c r="E219" s="27">
        <v>35492</v>
      </c>
      <c r="F219" s="26" t="s">
        <v>249</v>
      </c>
      <c r="G219" s="28">
        <v>12.727</v>
      </c>
      <c r="H219" s="29" t="s">
        <v>150</v>
      </c>
    </row>
    <row r="220" spans="1:8">
      <c r="A220" s="20">
        <v>10458</v>
      </c>
      <c r="B220" s="21" t="s">
        <v>138</v>
      </c>
      <c r="C220" s="21" t="s">
        <v>478</v>
      </c>
      <c r="D220" s="22">
        <v>35487</v>
      </c>
      <c r="E220" s="22">
        <v>35493</v>
      </c>
      <c r="F220" s="21" t="s">
        <v>243</v>
      </c>
      <c r="G220" s="23">
        <v>161.766</v>
      </c>
      <c r="H220" s="24" t="s">
        <v>139</v>
      </c>
    </row>
    <row r="221" spans="1:8">
      <c r="A221" s="25">
        <v>10459</v>
      </c>
      <c r="B221" s="26" t="s">
        <v>173</v>
      </c>
      <c r="C221" s="26" t="s">
        <v>472</v>
      </c>
      <c r="D221" s="27">
        <v>35488</v>
      </c>
      <c r="E221" s="27">
        <v>35489</v>
      </c>
      <c r="F221" s="26" t="s">
        <v>136</v>
      </c>
      <c r="G221" s="28">
        <v>27.599</v>
      </c>
      <c r="H221" s="29" t="s">
        <v>154</v>
      </c>
    </row>
    <row r="222" spans="1:8">
      <c r="A222" s="20">
        <v>10460</v>
      </c>
      <c r="B222" s="21" t="s">
        <v>194</v>
      </c>
      <c r="C222" s="21" t="s">
        <v>476</v>
      </c>
      <c r="D222" s="22">
        <v>35489</v>
      </c>
      <c r="E222" s="22">
        <v>35492</v>
      </c>
      <c r="F222" s="21" t="s">
        <v>249</v>
      </c>
      <c r="G222" s="23">
        <v>17.897</v>
      </c>
      <c r="H222" s="24" t="s">
        <v>148</v>
      </c>
    </row>
    <row r="223" spans="1:8">
      <c r="A223" s="25">
        <v>10461</v>
      </c>
      <c r="B223" s="26" t="s">
        <v>211</v>
      </c>
      <c r="C223" s="26" t="s">
        <v>475</v>
      </c>
      <c r="D223" s="27">
        <v>35489</v>
      </c>
      <c r="E223" s="27">
        <v>35494</v>
      </c>
      <c r="F223" s="26" t="s">
        <v>243</v>
      </c>
      <c r="G223" s="28">
        <v>163.471</v>
      </c>
      <c r="H223" s="29" t="s">
        <v>208</v>
      </c>
    </row>
    <row r="224" spans="1:8">
      <c r="A224" s="20">
        <v>10462</v>
      </c>
      <c r="B224" s="21" t="s">
        <v>195</v>
      </c>
      <c r="C224" s="21" t="s">
        <v>477</v>
      </c>
      <c r="D224" s="22">
        <v>35492</v>
      </c>
      <c r="E224" s="22">
        <v>35507</v>
      </c>
      <c r="F224" s="21" t="s">
        <v>249</v>
      </c>
      <c r="G224" s="23">
        <v>6.787</v>
      </c>
      <c r="H224" s="24" t="s">
        <v>169</v>
      </c>
    </row>
    <row r="225" spans="1:8">
      <c r="A225" s="25">
        <v>10463</v>
      </c>
      <c r="B225" s="26" t="s">
        <v>138</v>
      </c>
      <c r="C225" s="26" t="s">
        <v>470</v>
      </c>
      <c r="D225" s="27">
        <v>35493</v>
      </c>
      <c r="E225" s="27">
        <v>35495</v>
      </c>
      <c r="F225" s="26" t="s">
        <v>243</v>
      </c>
      <c r="G225" s="28">
        <v>16.258</v>
      </c>
      <c r="H225" s="29" t="s">
        <v>139</v>
      </c>
    </row>
    <row r="226" spans="1:8">
      <c r="A226" s="20">
        <v>10464</v>
      </c>
      <c r="B226" s="21" t="s">
        <v>203</v>
      </c>
      <c r="C226" s="21" t="s">
        <v>472</v>
      </c>
      <c r="D226" s="22">
        <v>35493</v>
      </c>
      <c r="E226" s="22">
        <v>35503</v>
      </c>
      <c r="F226" s="21" t="s">
        <v>136</v>
      </c>
      <c r="G226" s="23">
        <v>97.9</v>
      </c>
      <c r="H226" s="24" t="s">
        <v>175</v>
      </c>
    </row>
    <row r="227" spans="1:8">
      <c r="A227" s="25">
        <v>10465</v>
      </c>
      <c r="B227" s="26" t="s">
        <v>221</v>
      </c>
      <c r="C227" s="26" t="s">
        <v>475</v>
      </c>
      <c r="D227" s="27">
        <v>35494</v>
      </c>
      <c r="E227" s="27">
        <v>35503</v>
      </c>
      <c r="F227" s="26" t="s">
        <v>243</v>
      </c>
      <c r="G227" s="28">
        <v>159.544</v>
      </c>
      <c r="H227" s="29" t="s">
        <v>222</v>
      </c>
    </row>
    <row r="228" spans="1:8">
      <c r="A228" s="20">
        <v>10466</v>
      </c>
      <c r="B228" s="21" t="s">
        <v>210</v>
      </c>
      <c r="C228" s="21" t="s">
        <v>472</v>
      </c>
      <c r="D228" s="22">
        <v>35495</v>
      </c>
      <c r="E228" s="22">
        <v>35502</v>
      </c>
      <c r="F228" s="21" t="s">
        <v>249</v>
      </c>
      <c r="G228" s="23">
        <v>13.123</v>
      </c>
      <c r="H228" s="24" t="s">
        <v>137</v>
      </c>
    </row>
    <row r="229" spans="1:8">
      <c r="A229" s="25">
        <v>10467</v>
      </c>
      <c r="B229" s="26" t="s">
        <v>159</v>
      </c>
      <c r="C229" s="26" t="s">
        <v>476</v>
      </c>
      <c r="D229" s="27">
        <v>35495</v>
      </c>
      <c r="E229" s="27">
        <v>35500</v>
      </c>
      <c r="F229" s="26" t="s">
        <v>136</v>
      </c>
      <c r="G229" s="28">
        <v>5.423</v>
      </c>
      <c r="H229" s="29" t="s">
        <v>160</v>
      </c>
    </row>
    <row r="230" spans="1:8">
      <c r="A230" s="20">
        <v>10468</v>
      </c>
      <c r="B230" s="21" t="s">
        <v>202</v>
      </c>
      <c r="C230" s="21" t="s">
        <v>473</v>
      </c>
      <c r="D230" s="22">
        <v>35496</v>
      </c>
      <c r="E230" s="22">
        <v>35501</v>
      </c>
      <c r="F230" s="21" t="s">
        <v>243</v>
      </c>
      <c r="G230" s="23">
        <v>48.532</v>
      </c>
      <c r="H230" s="24" t="s">
        <v>150</v>
      </c>
    </row>
    <row r="231" spans="1:8">
      <c r="A231" s="25">
        <v>10469</v>
      </c>
      <c r="B231" s="26" t="s">
        <v>177</v>
      </c>
      <c r="C231" s="26" t="s">
        <v>475</v>
      </c>
      <c r="D231" s="27">
        <v>35499</v>
      </c>
      <c r="E231" s="27">
        <v>35503</v>
      </c>
      <c r="F231" s="26" t="s">
        <v>249</v>
      </c>
      <c r="G231" s="28">
        <v>66.198</v>
      </c>
      <c r="H231" s="29" t="s">
        <v>145</v>
      </c>
    </row>
    <row r="232" spans="1:8">
      <c r="A232" s="20">
        <v>10470</v>
      </c>
      <c r="B232" s="21" t="s">
        <v>204</v>
      </c>
      <c r="C232" s="21" t="s">
        <v>472</v>
      </c>
      <c r="D232" s="22">
        <v>35500</v>
      </c>
      <c r="E232" s="22">
        <v>35503</v>
      </c>
      <c r="F232" s="21" t="s">
        <v>136</v>
      </c>
      <c r="G232" s="23">
        <v>71.016</v>
      </c>
      <c r="H232" s="24" t="s">
        <v>154</v>
      </c>
    </row>
    <row r="233" spans="1:8">
      <c r="A233" s="25">
        <v>10471</v>
      </c>
      <c r="B233" s="26" t="s">
        <v>236</v>
      </c>
      <c r="C233" s="26" t="s">
        <v>477</v>
      </c>
      <c r="D233" s="27">
        <v>35500</v>
      </c>
      <c r="E233" s="27">
        <v>35507</v>
      </c>
      <c r="F233" s="26" t="s">
        <v>243</v>
      </c>
      <c r="G233" s="28">
        <v>50.149</v>
      </c>
      <c r="H233" s="29" t="s">
        <v>169</v>
      </c>
    </row>
    <row r="234" spans="1:8">
      <c r="A234" s="20">
        <v>10472</v>
      </c>
      <c r="B234" s="21" t="s">
        <v>214</v>
      </c>
      <c r="C234" s="21" t="s">
        <v>476</v>
      </c>
      <c r="D234" s="22">
        <v>35501</v>
      </c>
      <c r="E234" s="22">
        <v>35508</v>
      </c>
      <c r="F234" s="21" t="s">
        <v>249</v>
      </c>
      <c r="G234" s="23">
        <v>4.62</v>
      </c>
      <c r="H234" s="24" t="s">
        <v>169</v>
      </c>
    </row>
    <row r="235" spans="1:8">
      <c r="A235" s="25">
        <v>10473</v>
      </c>
      <c r="B235" s="26" t="s">
        <v>168</v>
      </c>
      <c r="C235" s="26" t="s">
        <v>475</v>
      </c>
      <c r="D235" s="27">
        <v>35502</v>
      </c>
      <c r="E235" s="27">
        <v>35510</v>
      </c>
      <c r="F235" s="26" t="s">
        <v>243</v>
      </c>
      <c r="G235" s="28">
        <v>18.007</v>
      </c>
      <c r="H235" s="29" t="s">
        <v>169</v>
      </c>
    </row>
    <row r="236" spans="1:8">
      <c r="A236" s="20">
        <v>10474</v>
      </c>
      <c r="B236" s="21" t="s">
        <v>205</v>
      </c>
      <c r="C236" s="21" t="s">
        <v>470</v>
      </c>
      <c r="D236" s="22">
        <v>35502</v>
      </c>
      <c r="E236" s="22">
        <v>35510</v>
      </c>
      <c r="F236" s="21" t="s">
        <v>136</v>
      </c>
      <c r="G236" s="23">
        <v>91.839</v>
      </c>
      <c r="H236" s="24" t="s">
        <v>165</v>
      </c>
    </row>
    <row r="237" spans="1:8">
      <c r="A237" s="25">
        <v>10475</v>
      </c>
      <c r="B237" s="26" t="s">
        <v>138</v>
      </c>
      <c r="C237" s="26" t="s">
        <v>474</v>
      </c>
      <c r="D237" s="27">
        <v>35503</v>
      </c>
      <c r="E237" s="27">
        <v>35524</v>
      </c>
      <c r="F237" s="26" t="s">
        <v>249</v>
      </c>
      <c r="G237" s="28">
        <v>75.372</v>
      </c>
      <c r="H237" s="29" t="s">
        <v>139</v>
      </c>
    </row>
    <row r="238" spans="1:8">
      <c r="A238" s="20">
        <v>10476</v>
      </c>
      <c r="B238" s="21" t="s">
        <v>209</v>
      </c>
      <c r="C238" s="21" t="s">
        <v>476</v>
      </c>
      <c r="D238" s="22">
        <v>35506</v>
      </c>
      <c r="E238" s="22">
        <v>35513</v>
      </c>
      <c r="F238" s="21" t="s">
        <v>243</v>
      </c>
      <c r="G238" s="23">
        <v>4.851</v>
      </c>
      <c r="H238" s="24" t="s">
        <v>208</v>
      </c>
    </row>
    <row r="239" spans="1:8">
      <c r="A239" s="25">
        <v>10477</v>
      </c>
      <c r="B239" s="26" t="s">
        <v>174</v>
      </c>
      <c r="C239" s="26" t="s">
        <v>470</v>
      </c>
      <c r="D239" s="27">
        <v>35506</v>
      </c>
      <c r="E239" s="27">
        <v>35514</v>
      </c>
      <c r="F239" s="26" t="s">
        <v>136</v>
      </c>
      <c r="G239" s="28">
        <v>14.322</v>
      </c>
      <c r="H239" s="29" t="s">
        <v>175</v>
      </c>
    </row>
    <row r="240" spans="1:8">
      <c r="A240" s="20">
        <v>10478</v>
      </c>
      <c r="B240" s="21" t="s">
        <v>173</v>
      </c>
      <c r="C240" s="21" t="s">
        <v>477</v>
      </c>
      <c r="D240" s="22">
        <v>35507</v>
      </c>
      <c r="E240" s="22">
        <v>35515</v>
      </c>
      <c r="F240" s="21" t="s">
        <v>243</v>
      </c>
      <c r="G240" s="23">
        <v>5.291</v>
      </c>
      <c r="H240" s="24" t="s">
        <v>154</v>
      </c>
    </row>
    <row r="241" spans="1:8">
      <c r="A241" s="25">
        <v>10479</v>
      </c>
      <c r="B241" s="26" t="s">
        <v>146</v>
      </c>
      <c r="C241" s="26" t="s">
        <v>473</v>
      </c>
      <c r="D241" s="27">
        <v>35508</v>
      </c>
      <c r="E241" s="27">
        <v>35510</v>
      </c>
      <c r="F241" s="26" t="s">
        <v>243</v>
      </c>
      <c r="G241" s="28">
        <v>779.845</v>
      </c>
      <c r="H241" s="29" t="s">
        <v>145</v>
      </c>
    </row>
    <row r="242" spans="1:8">
      <c r="A242" s="20">
        <v>10480</v>
      </c>
      <c r="B242" s="21" t="s">
        <v>206</v>
      </c>
      <c r="C242" s="21" t="s">
        <v>471</v>
      </c>
      <c r="D242" s="22">
        <v>35509</v>
      </c>
      <c r="E242" s="22">
        <v>35513</v>
      </c>
      <c r="F242" s="21" t="s">
        <v>136</v>
      </c>
      <c r="G242" s="23">
        <v>1.485</v>
      </c>
      <c r="H242" s="24" t="s">
        <v>154</v>
      </c>
    </row>
    <row r="243" spans="1:8">
      <c r="A243" s="25">
        <v>10481</v>
      </c>
      <c r="B243" s="26" t="s">
        <v>158</v>
      </c>
      <c r="C243" s="26" t="s">
        <v>476</v>
      </c>
      <c r="D243" s="27">
        <v>35509</v>
      </c>
      <c r="E243" s="27">
        <v>35514</v>
      </c>
      <c r="F243" s="26" t="s">
        <v>136</v>
      </c>
      <c r="G243" s="28">
        <v>70.763</v>
      </c>
      <c r="H243" s="29" t="s">
        <v>137</v>
      </c>
    </row>
    <row r="244" spans="1:8">
      <c r="A244" s="20">
        <v>10482</v>
      </c>
      <c r="B244" s="21" t="s">
        <v>217</v>
      </c>
      <c r="C244" s="21" t="s">
        <v>475</v>
      </c>
      <c r="D244" s="22">
        <v>35510</v>
      </c>
      <c r="E244" s="22">
        <v>35530</v>
      </c>
      <c r="F244" s="21" t="s">
        <v>243</v>
      </c>
      <c r="G244" s="23">
        <v>8.228</v>
      </c>
      <c r="H244" s="24" t="s">
        <v>145</v>
      </c>
    </row>
    <row r="245" spans="1:8">
      <c r="A245" s="25">
        <v>10483</v>
      </c>
      <c r="B245" s="26" t="s">
        <v>177</v>
      </c>
      <c r="C245" s="26" t="s">
        <v>478</v>
      </c>
      <c r="D245" s="27">
        <v>35513</v>
      </c>
      <c r="E245" s="27">
        <v>35545</v>
      </c>
      <c r="F245" s="26" t="s">
        <v>136</v>
      </c>
      <c r="G245" s="28">
        <v>16.808</v>
      </c>
      <c r="H245" s="29" t="s">
        <v>145</v>
      </c>
    </row>
    <row r="246" spans="1:8">
      <c r="A246" s="20">
        <v>10484</v>
      </c>
      <c r="B246" s="21" t="s">
        <v>236</v>
      </c>
      <c r="C246" s="21" t="s">
        <v>473</v>
      </c>
      <c r="D246" s="22">
        <v>35513</v>
      </c>
      <c r="E246" s="22">
        <v>35521</v>
      </c>
      <c r="F246" s="21" t="s">
        <v>243</v>
      </c>
      <c r="G246" s="23">
        <v>7.568</v>
      </c>
      <c r="H246" s="24" t="s">
        <v>169</v>
      </c>
    </row>
    <row r="247" spans="1:8">
      <c r="A247" s="25">
        <v>10485</v>
      </c>
      <c r="B247" s="26" t="s">
        <v>207</v>
      </c>
      <c r="C247" s="26" t="s">
        <v>472</v>
      </c>
      <c r="D247" s="27">
        <v>35514</v>
      </c>
      <c r="E247" s="27">
        <v>35520</v>
      </c>
      <c r="F247" s="26" t="s">
        <v>136</v>
      </c>
      <c r="G247" s="28">
        <v>70.895</v>
      </c>
      <c r="H247" s="29" t="s">
        <v>208</v>
      </c>
    </row>
    <row r="248" spans="1:8">
      <c r="A248" s="20">
        <v>10486</v>
      </c>
      <c r="B248" s="21" t="s">
        <v>209</v>
      </c>
      <c r="C248" s="21" t="s">
        <v>475</v>
      </c>
      <c r="D248" s="22">
        <v>35515</v>
      </c>
      <c r="E248" s="22">
        <v>35522</v>
      </c>
      <c r="F248" s="21" t="s">
        <v>136</v>
      </c>
      <c r="G248" s="23">
        <v>33.583</v>
      </c>
      <c r="H248" s="24" t="s">
        <v>208</v>
      </c>
    </row>
    <row r="249" spans="1:8">
      <c r="A249" s="25">
        <v>10487</v>
      </c>
      <c r="B249" s="26" t="s">
        <v>184</v>
      </c>
      <c r="C249" s="26" t="s">
        <v>477</v>
      </c>
      <c r="D249" s="27">
        <v>35515</v>
      </c>
      <c r="E249" s="27">
        <v>35517</v>
      </c>
      <c r="F249" s="26" t="s">
        <v>136</v>
      </c>
      <c r="G249" s="28">
        <v>78.177</v>
      </c>
      <c r="H249" s="29" t="s">
        <v>137</v>
      </c>
    </row>
    <row r="250" spans="1:8">
      <c r="A250" s="20">
        <v>10488</v>
      </c>
      <c r="B250" s="21" t="s">
        <v>176</v>
      </c>
      <c r="C250" s="21" t="s">
        <v>476</v>
      </c>
      <c r="D250" s="22">
        <v>35516</v>
      </c>
      <c r="E250" s="22">
        <v>35522</v>
      </c>
      <c r="F250" s="21" t="s">
        <v>136</v>
      </c>
      <c r="G250" s="23">
        <v>5.423</v>
      </c>
      <c r="H250" s="24" t="s">
        <v>150</v>
      </c>
    </row>
    <row r="251" spans="1:8">
      <c r="A251" s="25">
        <v>10489</v>
      </c>
      <c r="B251" s="26" t="s">
        <v>193</v>
      </c>
      <c r="C251" s="26" t="s">
        <v>471</v>
      </c>
      <c r="D251" s="27">
        <v>35517</v>
      </c>
      <c r="E251" s="27">
        <v>35529</v>
      </c>
      <c r="F251" s="26" t="s">
        <v>136</v>
      </c>
      <c r="G251" s="28">
        <v>5.819</v>
      </c>
      <c r="H251" s="29" t="s">
        <v>183</v>
      </c>
    </row>
    <row r="252" spans="1:8">
      <c r="A252" s="20">
        <v>10490</v>
      </c>
      <c r="B252" s="21" t="s">
        <v>209</v>
      </c>
      <c r="C252" s="21" t="s">
        <v>478</v>
      </c>
      <c r="D252" s="22">
        <v>35520</v>
      </c>
      <c r="E252" s="22">
        <v>35523</v>
      </c>
      <c r="F252" s="21" t="s">
        <v>136</v>
      </c>
      <c r="G252" s="23">
        <v>231.209</v>
      </c>
      <c r="H252" s="24" t="s">
        <v>208</v>
      </c>
    </row>
    <row r="253" spans="1:8">
      <c r="A253" s="25">
        <v>10491</v>
      </c>
      <c r="B253" s="26" t="s">
        <v>203</v>
      </c>
      <c r="C253" s="26" t="s">
        <v>476</v>
      </c>
      <c r="D253" s="27">
        <v>35520</v>
      </c>
      <c r="E253" s="27">
        <v>35528</v>
      </c>
      <c r="F253" s="26" t="s">
        <v>243</v>
      </c>
      <c r="G253" s="28">
        <v>18.656</v>
      </c>
      <c r="H253" s="29" t="s">
        <v>175</v>
      </c>
    </row>
    <row r="254" spans="1:8">
      <c r="A254" s="20">
        <v>10492</v>
      </c>
      <c r="B254" s="21" t="s">
        <v>188</v>
      </c>
      <c r="C254" s="21" t="s">
        <v>473</v>
      </c>
      <c r="D254" s="22">
        <v>35521</v>
      </c>
      <c r="E254" s="22">
        <v>35531</v>
      </c>
      <c r="F254" s="21" t="s">
        <v>249</v>
      </c>
      <c r="G254" s="23">
        <v>69.179</v>
      </c>
      <c r="H254" s="24" t="s">
        <v>172</v>
      </c>
    </row>
    <row r="255" spans="1:8">
      <c r="A255" s="25">
        <v>10493</v>
      </c>
      <c r="B255" s="26" t="s">
        <v>178</v>
      </c>
      <c r="C255" s="26" t="s">
        <v>472</v>
      </c>
      <c r="D255" s="27">
        <v>35522</v>
      </c>
      <c r="E255" s="27">
        <v>35530</v>
      </c>
      <c r="F255" s="26" t="s">
        <v>243</v>
      </c>
      <c r="G255" s="28">
        <v>11.704</v>
      </c>
      <c r="H255" s="29" t="s">
        <v>154</v>
      </c>
    </row>
    <row r="256" spans="1:8">
      <c r="A256" s="20">
        <v>10494</v>
      </c>
      <c r="B256" s="21" t="s">
        <v>210</v>
      </c>
      <c r="C256" s="21" t="s">
        <v>472</v>
      </c>
      <c r="D256" s="22">
        <v>35522</v>
      </c>
      <c r="E256" s="22">
        <v>35529</v>
      </c>
      <c r="F256" s="21" t="s">
        <v>136</v>
      </c>
      <c r="G256" s="23">
        <v>72.589</v>
      </c>
      <c r="H256" s="24" t="s">
        <v>137</v>
      </c>
    </row>
    <row r="257" spans="1:8">
      <c r="A257" s="25">
        <v>10495</v>
      </c>
      <c r="B257" s="26" t="s">
        <v>247</v>
      </c>
      <c r="C257" s="26" t="s">
        <v>473</v>
      </c>
      <c r="D257" s="27">
        <v>35523</v>
      </c>
      <c r="E257" s="27">
        <v>35531</v>
      </c>
      <c r="F257" s="26" t="s">
        <v>243</v>
      </c>
      <c r="G257" s="28">
        <v>5.115</v>
      </c>
      <c r="H257" s="29" t="s">
        <v>172</v>
      </c>
    </row>
    <row r="258" spans="1:8">
      <c r="A258" s="20">
        <v>10496</v>
      </c>
      <c r="B258" s="21" t="s">
        <v>152</v>
      </c>
      <c r="C258" s="21" t="s">
        <v>478</v>
      </c>
      <c r="D258" s="22">
        <v>35524</v>
      </c>
      <c r="E258" s="22">
        <v>35527</v>
      </c>
      <c r="F258" s="21" t="s">
        <v>136</v>
      </c>
      <c r="G258" s="23">
        <v>51.447</v>
      </c>
      <c r="H258" s="24" t="s">
        <v>137</v>
      </c>
    </row>
    <row r="259" spans="1:8">
      <c r="A259" s="25">
        <v>10497</v>
      </c>
      <c r="B259" s="26" t="s">
        <v>149</v>
      </c>
      <c r="C259" s="26" t="s">
        <v>478</v>
      </c>
      <c r="D259" s="27">
        <v>35524</v>
      </c>
      <c r="E259" s="27">
        <v>35527</v>
      </c>
      <c r="F259" s="26" t="s">
        <v>249</v>
      </c>
      <c r="G259" s="28">
        <v>39.831</v>
      </c>
      <c r="H259" s="29" t="s">
        <v>150</v>
      </c>
    </row>
    <row r="260" spans="1:8">
      <c r="A260" s="20">
        <v>10498</v>
      </c>
      <c r="B260" s="21" t="s">
        <v>209</v>
      </c>
      <c r="C260" s="21" t="s">
        <v>476</v>
      </c>
      <c r="D260" s="22">
        <v>35527</v>
      </c>
      <c r="E260" s="22">
        <v>35531</v>
      </c>
      <c r="F260" s="21" t="s">
        <v>136</v>
      </c>
      <c r="G260" s="23">
        <v>32.725</v>
      </c>
      <c r="H260" s="24" t="s">
        <v>208</v>
      </c>
    </row>
    <row r="261" spans="1:8">
      <c r="A261" s="25">
        <v>10499</v>
      </c>
      <c r="B261" s="26" t="s">
        <v>211</v>
      </c>
      <c r="C261" s="26" t="s">
        <v>472</v>
      </c>
      <c r="D261" s="27">
        <v>35528</v>
      </c>
      <c r="E261" s="27">
        <v>35536</v>
      </c>
      <c r="F261" s="26" t="s">
        <v>136</v>
      </c>
      <c r="G261" s="28">
        <v>112.222</v>
      </c>
      <c r="H261" s="29" t="s">
        <v>208</v>
      </c>
    </row>
    <row r="262" spans="1:8">
      <c r="A262" s="20">
        <v>10500</v>
      </c>
      <c r="B262" s="21" t="s">
        <v>178</v>
      </c>
      <c r="C262" s="21" t="s">
        <v>471</v>
      </c>
      <c r="D262" s="22">
        <v>35529</v>
      </c>
      <c r="E262" s="22">
        <v>35537</v>
      </c>
      <c r="F262" s="21" t="s">
        <v>249</v>
      </c>
      <c r="G262" s="23">
        <v>46.948</v>
      </c>
      <c r="H262" s="24" t="s">
        <v>154</v>
      </c>
    </row>
    <row r="263" spans="1:8">
      <c r="A263" s="25">
        <v>10501</v>
      </c>
      <c r="B263" s="26" t="s">
        <v>220</v>
      </c>
      <c r="C263" s="26" t="s">
        <v>474</v>
      </c>
      <c r="D263" s="27">
        <v>35529</v>
      </c>
      <c r="E263" s="27">
        <v>35536</v>
      </c>
      <c r="F263" s="26" t="s">
        <v>243</v>
      </c>
      <c r="G263" s="28">
        <v>9.735</v>
      </c>
      <c r="H263" s="29" t="s">
        <v>150</v>
      </c>
    </row>
    <row r="264" spans="1:8">
      <c r="A264" s="20">
        <v>10502</v>
      </c>
      <c r="B264" s="21" t="s">
        <v>205</v>
      </c>
      <c r="C264" s="21" t="s">
        <v>477</v>
      </c>
      <c r="D264" s="22">
        <v>35530</v>
      </c>
      <c r="E264" s="22">
        <v>35549</v>
      </c>
      <c r="F264" s="21" t="s">
        <v>249</v>
      </c>
      <c r="G264" s="23">
        <v>76.252</v>
      </c>
      <c r="H264" s="24" t="s">
        <v>165</v>
      </c>
    </row>
    <row r="265" spans="1:8">
      <c r="A265" s="25">
        <v>10503</v>
      </c>
      <c r="B265" s="26" t="s">
        <v>156</v>
      </c>
      <c r="C265" s="26" t="s">
        <v>471</v>
      </c>
      <c r="D265" s="27">
        <v>35531</v>
      </c>
      <c r="E265" s="27">
        <v>35536</v>
      </c>
      <c r="F265" s="26" t="s">
        <v>136</v>
      </c>
      <c r="G265" s="28">
        <v>18.414</v>
      </c>
      <c r="H265" s="29" t="s">
        <v>157</v>
      </c>
    </row>
    <row r="266" spans="1:8">
      <c r="A266" s="20">
        <v>10504</v>
      </c>
      <c r="B266" s="21" t="s">
        <v>177</v>
      </c>
      <c r="C266" s="21" t="s">
        <v>472</v>
      </c>
      <c r="D266" s="22">
        <v>35531</v>
      </c>
      <c r="E266" s="22">
        <v>35538</v>
      </c>
      <c r="F266" s="21" t="s">
        <v>243</v>
      </c>
      <c r="G266" s="23">
        <v>65.043</v>
      </c>
      <c r="H266" s="24" t="s">
        <v>145</v>
      </c>
    </row>
    <row r="267" spans="1:8">
      <c r="A267" s="25">
        <v>10505</v>
      </c>
      <c r="B267" s="26" t="s">
        <v>171</v>
      </c>
      <c r="C267" s="26" t="s">
        <v>473</v>
      </c>
      <c r="D267" s="27">
        <v>35534</v>
      </c>
      <c r="E267" s="27">
        <v>35541</v>
      </c>
      <c r="F267" s="26" t="s">
        <v>243</v>
      </c>
      <c r="G267" s="28">
        <v>7.843</v>
      </c>
      <c r="H267" s="29" t="s">
        <v>172</v>
      </c>
    </row>
    <row r="268" spans="1:8">
      <c r="A268" s="20">
        <v>10506</v>
      </c>
      <c r="B268" s="21" t="s">
        <v>202</v>
      </c>
      <c r="C268" s="21" t="s">
        <v>474</v>
      </c>
      <c r="D268" s="22">
        <v>35535</v>
      </c>
      <c r="E268" s="22">
        <v>35552</v>
      </c>
      <c r="F268" s="21" t="s">
        <v>136</v>
      </c>
      <c r="G268" s="23">
        <v>23.309</v>
      </c>
      <c r="H268" s="24" t="s">
        <v>150</v>
      </c>
    </row>
    <row r="269" spans="1:8">
      <c r="A269" s="25">
        <v>10507</v>
      </c>
      <c r="B269" s="26" t="s">
        <v>179</v>
      </c>
      <c r="C269" s="26" t="s">
        <v>478</v>
      </c>
      <c r="D269" s="27">
        <v>35535</v>
      </c>
      <c r="E269" s="27">
        <v>35542</v>
      </c>
      <c r="F269" s="26" t="s">
        <v>249</v>
      </c>
      <c r="G269" s="28">
        <v>52.195</v>
      </c>
      <c r="H269" s="29" t="s">
        <v>165</v>
      </c>
    </row>
    <row r="270" spans="1:8">
      <c r="A270" s="20">
        <v>10508</v>
      </c>
      <c r="B270" s="21" t="s">
        <v>189</v>
      </c>
      <c r="C270" s="21" t="s">
        <v>475</v>
      </c>
      <c r="D270" s="22">
        <v>35536</v>
      </c>
      <c r="E270" s="22">
        <v>35563</v>
      </c>
      <c r="F270" s="21" t="s">
        <v>136</v>
      </c>
      <c r="G270" s="23">
        <v>5.489</v>
      </c>
      <c r="H270" s="24" t="s">
        <v>150</v>
      </c>
    </row>
    <row r="271" spans="1:8">
      <c r="A271" s="25">
        <v>10509</v>
      </c>
      <c r="B271" s="26" t="s">
        <v>220</v>
      </c>
      <c r="C271" s="26" t="s">
        <v>472</v>
      </c>
      <c r="D271" s="27">
        <v>35537</v>
      </c>
      <c r="E271" s="27">
        <v>35549</v>
      </c>
      <c r="F271" s="26" t="s">
        <v>249</v>
      </c>
      <c r="G271" s="28">
        <v>0.165</v>
      </c>
      <c r="H271" s="29" t="s">
        <v>150</v>
      </c>
    </row>
    <row r="272" spans="1:8">
      <c r="A272" s="20">
        <v>10510</v>
      </c>
      <c r="B272" s="21" t="s">
        <v>197</v>
      </c>
      <c r="C272" s="21" t="s">
        <v>471</v>
      </c>
      <c r="D272" s="22">
        <v>35538</v>
      </c>
      <c r="E272" s="22">
        <v>35548</v>
      </c>
      <c r="F272" s="21" t="s">
        <v>243</v>
      </c>
      <c r="G272" s="23">
        <v>404.393</v>
      </c>
      <c r="H272" s="24" t="s">
        <v>145</v>
      </c>
    </row>
    <row r="273" spans="1:8">
      <c r="A273" s="25">
        <v>10511</v>
      </c>
      <c r="B273" s="26" t="s">
        <v>204</v>
      </c>
      <c r="C273" s="26" t="s">
        <v>472</v>
      </c>
      <c r="D273" s="27">
        <v>35538</v>
      </c>
      <c r="E273" s="27">
        <v>35541</v>
      </c>
      <c r="F273" s="26" t="s">
        <v>243</v>
      </c>
      <c r="G273" s="28">
        <v>385.704</v>
      </c>
      <c r="H273" s="29" t="s">
        <v>154</v>
      </c>
    </row>
    <row r="274" spans="1:8">
      <c r="A274" s="20">
        <v>10512</v>
      </c>
      <c r="B274" s="21" t="s">
        <v>212</v>
      </c>
      <c r="C274" s="21" t="s">
        <v>478</v>
      </c>
      <c r="D274" s="22">
        <v>35541</v>
      </c>
      <c r="E274" s="22">
        <v>35544</v>
      </c>
      <c r="F274" s="21" t="s">
        <v>136</v>
      </c>
      <c r="G274" s="23">
        <v>3.883</v>
      </c>
      <c r="H274" s="24" t="s">
        <v>137</v>
      </c>
    </row>
    <row r="275" spans="1:8">
      <c r="A275" s="25">
        <v>10513</v>
      </c>
      <c r="B275" s="26" t="s">
        <v>161</v>
      </c>
      <c r="C275" s="26" t="s">
        <v>478</v>
      </c>
      <c r="D275" s="27">
        <v>35542</v>
      </c>
      <c r="E275" s="27">
        <v>35548</v>
      </c>
      <c r="F275" s="26" t="s">
        <v>249</v>
      </c>
      <c r="G275" s="28">
        <v>116.215</v>
      </c>
      <c r="H275" s="29" t="s">
        <v>150</v>
      </c>
    </row>
    <row r="276" spans="1:8">
      <c r="A276" s="20">
        <v>10514</v>
      </c>
      <c r="B276" s="21" t="s">
        <v>182</v>
      </c>
      <c r="C276" s="21" t="s">
        <v>473</v>
      </c>
      <c r="D276" s="22">
        <v>35542</v>
      </c>
      <c r="E276" s="22">
        <v>35566</v>
      </c>
      <c r="F276" s="21" t="s">
        <v>136</v>
      </c>
      <c r="G276" s="23">
        <v>868.945</v>
      </c>
      <c r="H276" s="24" t="s">
        <v>183</v>
      </c>
    </row>
    <row r="277" spans="1:8">
      <c r="A277" s="25">
        <v>10515</v>
      </c>
      <c r="B277" s="26" t="s">
        <v>151</v>
      </c>
      <c r="C277" s="26" t="s">
        <v>477</v>
      </c>
      <c r="D277" s="27">
        <v>35543</v>
      </c>
      <c r="E277" s="27">
        <v>35573</v>
      </c>
      <c r="F277" s="26" t="s">
        <v>249</v>
      </c>
      <c r="G277" s="28">
        <v>224.917</v>
      </c>
      <c r="H277" s="29" t="s">
        <v>150</v>
      </c>
    </row>
    <row r="278" spans="1:8">
      <c r="A278" s="20">
        <v>10516</v>
      </c>
      <c r="B278" s="21" t="s">
        <v>156</v>
      </c>
      <c r="C278" s="21" t="s">
        <v>477</v>
      </c>
      <c r="D278" s="22">
        <v>35544</v>
      </c>
      <c r="E278" s="22">
        <v>35551</v>
      </c>
      <c r="F278" s="21" t="s">
        <v>243</v>
      </c>
      <c r="G278" s="23">
        <v>69.058</v>
      </c>
      <c r="H278" s="24" t="s">
        <v>157</v>
      </c>
    </row>
    <row r="279" spans="1:8">
      <c r="A279" s="25">
        <v>10517</v>
      </c>
      <c r="B279" s="26" t="s">
        <v>248</v>
      </c>
      <c r="C279" s="26" t="s">
        <v>473</v>
      </c>
      <c r="D279" s="27">
        <v>35544</v>
      </c>
      <c r="E279" s="27">
        <v>35549</v>
      </c>
      <c r="F279" s="26" t="s">
        <v>243</v>
      </c>
      <c r="G279" s="28">
        <v>35.277</v>
      </c>
      <c r="H279" s="29" t="s">
        <v>169</v>
      </c>
    </row>
    <row r="280" spans="1:8">
      <c r="A280" s="20">
        <v>10518</v>
      </c>
      <c r="B280" s="21" t="s">
        <v>164</v>
      </c>
      <c r="C280" s="21" t="s">
        <v>472</v>
      </c>
      <c r="D280" s="22">
        <v>35545</v>
      </c>
      <c r="E280" s="22">
        <v>35555</v>
      </c>
      <c r="F280" s="21" t="s">
        <v>136</v>
      </c>
      <c r="G280" s="23">
        <v>239.965</v>
      </c>
      <c r="H280" s="24" t="s">
        <v>165</v>
      </c>
    </row>
    <row r="281" spans="1:8">
      <c r="A281" s="25">
        <v>10519</v>
      </c>
      <c r="B281" s="26" t="s">
        <v>140</v>
      </c>
      <c r="C281" s="26" t="s">
        <v>471</v>
      </c>
      <c r="D281" s="27">
        <v>35548</v>
      </c>
      <c r="E281" s="27">
        <v>35551</v>
      </c>
      <c r="F281" s="26" t="s">
        <v>243</v>
      </c>
      <c r="G281" s="28">
        <v>100.936</v>
      </c>
      <c r="H281" s="29" t="s">
        <v>141</v>
      </c>
    </row>
    <row r="282" spans="1:8">
      <c r="A282" s="20">
        <v>10520</v>
      </c>
      <c r="B282" s="21" t="s">
        <v>186</v>
      </c>
      <c r="C282" s="21" t="s">
        <v>478</v>
      </c>
      <c r="D282" s="22">
        <v>35549</v>
      </c>
      <c r="E282" s="22">
        <v>35551</v>
      </c>
      <c r="F282" s="21" t="s">
        <v>249</v>
      </c>
      <c r="G282" s="23">
        <v>14.707</v>
      </c>
      <c r="H282" s="24" t="s">
        <v>187</v>
      </c>
    </row>
    <row r="283" spans="1:8">
      <c r="A283" s="25">
        <v>10521</v>
      </c>
      <c r="B283" s="26" t="s">
        <v>213</v>
      </c>
      <c r="C283" s="26" t="s">
        <v>476</v>
      </c>
      <c r="D283" s="27">
        <v>35549</v>
      </c>
      <c r="E283" s="27">
        <v>35552</v>
      </c>
      <c r="F283" s="26" t="s">
        <v>136</v>
      </c>
      <c r="G283" s="28">
        <v>18.942</v>
      </c>
      <c r="H283" s="29" t="s">
        <v>200</v>
      </c>
    </row>
    <row r="284" spans="1:8">
      <c r="A284" s="20">
        <v>10522</v>
      </c>
      <c r="B284" s="21" t="s">
        <v>149</v>
      </c>
      <c r="C284" s="21" t="s">
        <v>472</v>
      </c>
      <c r="D284" s="22">
        <v>35550</v>
      </c>
      <c r="E284" s="22">
        <v>35556</v>
      </c>
      <c r="F284" s="21" t="s">
        <v>249</v>
      </c>
      <c r="G284" s="23">
        <v>49.863</v>
      </c>
      <c r="H284" s="24" t="s">
        <v>150</v>
      </c>
    </row>
    <row r="285" spans="1:8">
      <c r="A285" s="25">
        <v>10523</v>
      </c>
      <c r="B285" s="26" t="s">
        <v>214</v>
      </c>
      <c r="C285" s="26" t="s">
        <v>478</v>
      </c>
      <c r="D285" s="27">
        <v>35551</v>
      </c>
      <c r="E285" s="27">
        <v>35580</v>
      </c>
      <c r="F285" s="26" t="s">
        <v>136</v>
      </c>
      <c r="G285" s="28">
        <v>85.393</v>
      </c>
      <c r="H285" s="29" t="s">
        <v>169</v>
      </c>
    </row>
    <row r="286" spans="1:8">
      <c r="A286" s="20">
        <v>10524</v>
      </c>
      <c r="B286" s="21" t="s">
        <v>147</v>
      </c>
      <c r="C286" s="21" t="s">
        <v>475</v>
      </c>
      <c r="D286" s="22">
        <v>35551</v>
      </c>
      <c r="E286" s="22">
        <v>35557</v>
      </c>
      <c r="F286" s="21" t="s">
        <v>136</v>
      </c>
      <c r="G286" s="23">
        <v>269.269</v>
      </c>
      <c r="H286" s="24" t="s">
        <v>148</v>
      </c>
    </row>
    <row r="287" spans="1:8">
      <c r="A287" s="25">
        <v>10525</v>
      </c>
      <c r="B287" s="26" t="s">
        <v>204</v>
      </c>
      <c r="C287" s="26" t="s">
        <v>475</v>
      </c>
      <c r="D287" s="27">
        <v>35552</v>
      </c>
      <c r="E287" s="27">
        <v>35573</v>
      </c>
      <c r="F287" s="26" t="s">
        <v>136</v>
      </c>
      <c r="G287" s="28">
        <v>12.166</v>
      </c>
      <c r="H287" s="29" t="s">
        <v>154</v>
      </c>
    </row>
    <row r="288" spans="1:8">
      <c r="A288" s="20">
        <v>10526</v>
      </c>
      <c r="B288" s="21" t="s">
        <v>190</v>
      </c>
      <c r="C288" s="21" t="s">
        <v>472</v>
      </c>
      <c r="D288" s="22">
        <v>35555</v>
      </c>
      <c r="E288" s="22">
        <v>35565</v>
      </c>
      <c r="F288" s="21" t="s">
        <v>136</v>
      </c>
      <c r="G288" s="23">
        <v>64.449</v>
      </c>
      <c r="H288" s="24" t="s">
        <v>191</v>
      </c>
    </row>
    <row r="289" spans="1:8">
      <c r="A289" s="25">
        <v>10527</v>
      </c>
      <c r="B289" s="26" t="s">
        <v>151</v>
      </c>
      <c r="C289" s="26" t="s">
        <v>478</v>
      </c>
      <c r="D289" s="27">
        <v>35555</v>
      </c>
      <c r="E289" s="27">
        <v>35557</v>
      </c>
      <c r="F289" s="26" t="s">
        <v>249</v>
      </c>
      <c r="G289" s="28">
        <v>46.09</v>
      </c>
      <c r="H289" s="29" t="s">
        <v>150</v>
      </c>
    </row>
    <row r="290" spans="1:8">
      <c r="A290" s="20">
        <v>10528</v>
      </c>
      <c r="B290" s="21" t="s">
        <v>215</v>
      </c>
      <c r="C290" s="21" t="s">
        <v>471</v>
      </c>
      <c r="D290" s="22">
        <v>35556</v>
      </c>
      <c r="E290" s="22">
        <v>35559</v>
      </c>
      <c r="F290" s="21" t="s">
        <v>136</v>
      </c>
      <c r="G290" s="23">
        <v>3.685</v>
      </c>
      <c r="H290" s="24" t="s">
        <v>145</v>
      </c>
    </row>
    <row r="291" spans="1:8">
      <c r="A291" s="25">
        <v>10529</v>
      </c>
      <c r="B291" s="26" t="s">
        <v>216</v>
      </c>
      <c r="C291" s="26" t="s">
        <v>470</v>
      </c>
      <c r="D291" s="27">
        <v>35557</v>
      </c>
      <c r="E291" s="27">
        <v>35559</v>
      </c>
      <c r="F291" s="26" t="s">
        <v>136</v>
      </c>
      <c r="G291" s="28">
        <v>73.359</v>
      </c>
      <c r="H291" s="29" t="s">
        <v>139</v>
      </c>
    </row>
    <row r="292" spans="1:8">
      <c r="A292" s="20">
        <v>10530</v>
      </c>
      <c r="B292" s="21" t="s">
        <v>193</v>
      </c>
      <c r="C292" s="21" t="s">
        <v>473</v>
      </c>
      <c r="D292" s="22">
        <v>35558</v>
      </c>
      <c r="E292" s="22">
        <v>35562</v>
      </c>
      <c r="F292" s="21" t="s">
        <v>136</v>
      </c>
      <c r="G292" s="23">
        <v>373.142</v>
      </c>
      <c r="H292" s="24" t="s">
        <v>183</v>
      </c>
    </row>
    <row r="293" spans="1:8">
      <c r="A293" s="25">
        <v>10531</v>
      </c>
      <c r="B293" s="26" t="s">
        <v>234</v>
      </c>
      <c r="C293" s="26" t="s">
        <v>478</v>
      </c>
      <c r="D293" s="27">
        <v>35558</v>
      </c>
      <c r="E293" s="27">
        <v>35569</v>
      </c>
      <c r="F293" s="26" t="s">
        <v>249</v>
      </c>
      <c r="G293" s="28">
        <v>8.932</v>
      </c>
      <c r="H293" s="29" t="s">
        <v>200</v>
      </c>
    </row>
    <row r="294" spans="1:8">
      <c r="A294" s="20">
        <v>10532</v>
      </c>
      <c r="B294" s="21" t="s">
        <v>240</v>
      </c>
      <c r="C294" s="21" t="s">
        <v>478</v>
      </c>
      <c r="D294" s="22">
        <v>35559</v>
      </c>
      <c r="E294" s="22">
        <v>35562</v>
      </c>
      <c r="F294" s="21" t="s">
        <v>243</v>
      </c>
      <c r="G294" s="23">
        <v>81.906</v>
      </c>
      <c r="H294" s="24" t="s">
        <v>169</v>
      </c>
    </row>
    <row r="295" spans="1:8">
      <c r="A295" s="25">
        <v>10533</v>
      </c>
      <c r="B295" s="26" t="s">
        <v>194</v>
      </c>
      <c r="C295" s="26" t="s">
        <v>476</v>
      </c>
      <c r="D295" s="27">
        <v>35562</v>
      </c>
      <c r="E295" s="27">
        <v>35572</v>
      </c>
      <c r="F295" s="26" t="s">
        <v>249</v>
      </c>
      <c r="G295" s="28">
        <v>206.844</v>
      </c>
      <c r="H295" s="29" t="s">
        <v>148</v>
      </c>
    </row>
    <row r="296" spans="1:8">
      <c r="A296" s="20">
        <v>10534</v>
      </c>
      <c r="B296" s="21" t="s">
        <v>149</v>
      </c>
      <c r="C296" s="21" t="s">
        <v>476</v>
      </c>
      <c r="D296" s="22">
        <v>35562</v>
      </c>
      <c r="E296" s="22">
        <v>35564</v>
      </c>
      <c r="F296" s="21" t="s">
        <v>136</v>
      </c>
      <c r="G296" s="23">
        <v>30.734</v>
      </c>
      <c r="H296" s="24" t="s">
        <v>150</v>
      </c>
    </row>
    <row r="297" spans="1:8">
      <c r="A297" s="25">
        <v>10535</v>
      </c>
      <c r="B297" s="26" t="s">
        <v>179</v>
      </c>
      <c r="C297" s="26" t="s">
        <v>472</v>
      </c>
      <c r="D297" s="27">
        <v>35563</v>
      </c>
      <c r="E297" s="27">
        <v>35571</v>
      </c>
      <c r="F297" s="26" t="s">
        <v>249</v>
      </c>
      <c r="G297" s="28">
        <v>17.204</v>
      </c>
      <c r="H297" s="29" t="s">
        <v>165</v>
      </c>
    </row>
    <row r="298" spans="1:8">
      <c r="A298" s="20">
        <v>10536</v>
      </c>
      <c r="B298" s="21" t="s">
        <v>149</v>
      </c>
      <c r="C298" s="21" t="s">
        <v>473</v>
      </c>
      <c r="D298" s="22">
        <v>35564</v>
      </c>
      <c r="E298" s="22">
        <v>35587</v>
      </c>
      <c r="F298" s="21" t="s">
        <v>136</v>
      </c>
      <c r="G298" s="23">
        <v>64.768</v>
      </c>
      <c r="H298" s="24" t="s">
        <v>150</v>
      </c>
    </row>
    <row r="299" spans="1:8">
      <c r="A299" s="25">
        <v>10537</v>
      </c>
      <c r="B299" s="26" t="s">
        <v>192</v>
      </c>
      <c r="C299" s="26" t="s">
        <v>475</v>
      </c>
      <c r="D299" s="27">
        <v>35564</v>
      </c>
      <c r="E299" s="27">
        <v>35569</v>
      </c>
      <c r="F299" s="26" t="s">
        <v>249</v>
      </c>
      <c r="G299" s="28">
        <v>86.735</v>
      </c>
      <c r="H299" s="29" t="s">
        <v>141</v>
      </c>
    </row>
    <row r="300" spans="1:8">
      <c r="A300" s="20">
        <v>10538</v>
      </c>
      <c r="B300" s="21" t="s">
        <v>236</v>
      </c>
      <c r="C300" s="21" t="s">
        <v>474</v>
      </c>
      <c r="D300" s="22">
        <v>35565</v>
      </c>
      <c r="E300" s="22">
        <v>35566</v>
      </c>
      <c r="F300" s="21" t="s">
        <v>243</v>
      </c>
      <c r="G300" s="23">
        <v>5.357</v>
      </c>
      <c r="H300" s="24" t="s">
        <v>169</v>
      </c>
    </row>
    <row r="301" spans="1:8">
      <c r="A301" s="25">
        <v>10539</v>
      </c>
      <c r="B301" s="26" t="s">
        <v>236</v>
      </c>
      <c r="C301" s="26" t="s">
        <v>471</v>
      </c>
      <c r="D301" s="27">
        <v>35566</v>
      </c>
      <c r="E301" s="27">
        <v>35573</v>
      </c>
      <c r="F301" s="26" t="s">
        <v>243</v>
      </c>
      <c r="G301" s="28">
        <v>13.596</v>
      </c>
      <c r="H301" s="29" t="s">
        <v>169</v>
      </c>
    </row>
    <row r="302" spans="1:8">
      <c r="A302" s="20">
        <v>10540</v>
      </c>
      <c r="B302" s="21" t="s">
        <v>151</v>
      </c>
      <c r="C302" s="21" t="s">
        <v>473</v>
      </c>
      <c r="D302" s="22">
        <v>35569</v>
      </c>
      <c r="E302" s="22">
        <v>35594</v>
      </c>
      <c r="F302" s="21" t="s">
        <v>243</v>
      </c>
      <c r="G302" s="23">
        <v>1108.404</v>
      </c>
      <c r="H302" s="24" t="s">
        <v>150</v>
      </c>
    </row>
    <row r="303" spans="1:8">
      <c r="A303" s="25">
        <v>10541</v>
      </c>
      <c r="B303" s="26" t="s">
        <v>135</v>
      </c>
      <c r="C303" s="26" t="s">
        <v>477</v>
      </c>
      <c r="D303" s="27">
        <v>35569</v>
      </c>
      <c r="E303" s="27">
        <v>35579</v>
      </c>
      <c r="F303" s="26" t="s">
        <v>249</v>
      </c>
      <c r="G303" s="28">
        <v>75.515</v>
      </c>
      <c r="H303" s="29" t="s">
        <v>137</v>
      </c>
    </row>
    <row r="304" spans="1:8">
      <c r="A304" s="20">
        <v>10542</v>
      </c>
      <c r="B304" s="21" t="s">
        <v>202</v>
      </c>
      <c r="C304" s="21" t="s">
        <v>475</v>
      </c>
      <c r="D304" s="22">
        <v>35570</v>
      </c>
      <c r="E304" s="22">
        <v>35576</v>
      </c>
      <c r="F304" s="21" t="s">
        <v>243</v>
      </c>
      <c r="G304" s="23">
        <v>12.045</v>
      </c>
      <c r="H304" s="24" t="s">
        <v>150</v>
      </c>
    </row>
    <row r="305" spans="1:8">
      <c r="A305" s="25">
        <v>10543</v>
      </c>
      <c r="B305" s="26" t="s">
        <v>211</v>
      </c>
      <c r="C305" s="26" t="s">
        <v>476</v>
      </c>
      <c r="D305" s="27">
        <v>35571</v>
      </c>
      <c r="E305" s="27">
        <v>35573</v>
      </c>
      <c r="F305" s="26" t="s">
        <v>136</v>
      </c>
      <c r="G305" s="28">
        <v>52.987</v>
      </c>
      <c r="H305" s="29" t="s">
        <v>208</v>
      </c>
    </row>
    <row r="306" spans="1:8">
      <c r="A306" s="20">
        <v>10544</v>
      </c>
      <c r="B306" s="21" t="s">
        <v>166</v>
      </c>
      <c r="C306" s="21" t="s">
        <v>472</v>
      </c>
      <c r="D306" s="22">
        <v>35571</v>
      </c>
      <c r="E306" s="22">
        <v>35580</v>
      </c>
      <c r="F306" s="21" t="s">
        <v>249</v>
      </c>
      <c r="G306" s="23">
        <v>27.401</v>
      </c>
      <c r="H306" s="24" t="s">
        <v>145</v>
      </c>
    </row>
    <row r="307" spans="1:8">
      <c r="A307" s="25">
        <v>10545</v>
      </c>
      <c r="B307" s="26" t="s">
        <v>217</v>
      </c>
      <c r="C307" s="26" t="s">
        <v>476</v>
      </c>
      <c r="D307" s="27">
        <v>35572</v>
      </c>
      <c r="E307" s="27">
        <v>35607</v>
      </c>
      <c r="F307" s="26" t="s">
        <v>136</v>
      </c>
      <c r="G307" s="28">
        <v>13.112</v>
      </c>
      <c r="H307" s="29" t="s">
        <v>145</v>
      </c>
    </row>
    <row r="308" spans="1:8">
      <c r="A308" s="20">
        <v>10546</v>
      </c>
      <c r="B308" s="21" t="s">
        <v>173</v>
      </c>
      <c r="C308" s="21" t="s">
        <v>475</v>
      </c>
      <c r="D308" s="22">
        <v>35573</v>
      </c>
      <c r="E308" s="22">
        <v>35577</v>
      </c>
      <c r="F308" s="21" t="s">
        <v>243</v>
      </c>
      <c r="G308" s="23">
        <v>214.192</v>
      </c>
      <c r="H308" s="24" t="s">
        <v>154</v>
      </c>
    </row>
    <row r="309" spans="1:8">
      <c r="A309" s="25">
        <v>10547</v>
      </c>
      <c r="B309" s="26" t="s">
        <v>214</v>
      </c>
      <c r="C309" s="26" t="s">
        <v>473</v>
      </c>
      <c r="D309" s="27">
        <v>35573</v>
      </c>
      <c r="E309" s="27">
        <v>35583</v>
      </c>
      <c r="F309" s="26" t="s">
        <v>136</v>
      </c>
      <c r="G309" s="28">
        <v>196.273</v>
      </c>
      <c r="H309" s="29" t="s">
        <v>169</v>
      </c>
    </row>
    <row r="310" spans="1:8">
      <c r="A310" s="20">
        <v>10548</v>
      </c>
      <c r="B310" s="21" t="s">
        <v>196</v>
      </c>
      <c r="C310" s="21" t="s">
        <v>473</v>
      </c>
      <c r="D310" s="22">
        <v>35576</v>
      </c>
      <c r="E310" s="22">
        <v>35583</v>
      </c>
      <c r="F310" s="21" t="s">
        <v>136</v>
      </c>
      <c r="G310" s="23">
        <v>1.573</v>
      </c>
      <c r="H310" s="24" t="s">
        <v>150</v>
      </c>
    </row>
    <row r="311" spans="1:8">
      <c r="A311" s="25">
        <v>10549</v>
      </c>
      <c r="B311" s="26" t="s">
        <v>151</v>
      </c>
      <c r="C311" s="26" t="s">
        <v>470</v>
      </c>
      <c r="D311" s="27">
        <v>35577</v>
      </c>
      <c r="E311" s="27">
        <v>35580</v>
      </c>
      <c r="F311" s="26" t="s">
        <v>249</v>
      </c>
      <c r="G311" s="28">
        <v>188.364</v>
      </c>
      <c r="H311" s="29" t="s">
        <v>150</v>
      </c>
    </row>
    <row r="312" spans="1:8">
      <c r="A312" s="20">
        <v>10550</v>
      </c>
      <c r="B312" s="21" t="s">
        <v>162</v>
      </c>
      <c r="C312" s="21" t="s">
        <v>478</v>
      </c>
      <c r="D312" s="22">
        <v>35578</v>
      </c>
      <c r="E312" s="22">
        <v>35587</v>
      </c>
      <c r="F312" s="21" t="s">
        <v>243</v>
      </c>
      <c r="G312" s="23">
        <v>4.752</v>
      </c>
      <c r="H312" s="24" t="s">
        <v>163</v>
      </c>
    </row>
    <row r="313" spans="1:8">
      <c r="A313" s="25">
        <v>10551</v>
      </c>
      <c r="B313" s="26" t="s">
        <v>203</v>
      </c>
      <c r="C313" s="26" t="s">
        <v>472</v>
      </c>
      <c r="D313" s="27">
        <v>35578</v>
      </c>
      <c r="E313" s="27">
        <v>35587</v>
      </c>
      <c r="F313" s="26" t="s">
        <v>243</v>
      </c>
      <c r="G313" s="28">
        <v>80.245</v>
      </c>
      <c r="H313" s="29" t="s">
        <v>175</v>
      </c>
    </row>
    <row r="314" spans="1:8">
      <c r="A314" s="20">
        <v>10552</v>
      </c>
      <c r="B314" s="21" t="s">
        <v>209</v>
      </c>
      <c r="C314" s="21" t="s">
        <v>477</v>
      </c>
      <c r="D314" s="22">
        <v>35579</v>
      </c>
      <c r="E314" s="22">
        <v>35586</v>
      </c>
      <c r="F314" s="21" t="s">
        <v>249</v>
      </c>
      <c r="G314" s="23">
        <v>91.542</v>
      </c>
      <c r="H314" s="24" t="s">
        <v>208</v>
      </c>
    </row>
    <row r="315" spans="1:8">
      <c r="A315" s="25">
        <v>10553</v>
      </c>
      <c r="B315" s="26" t="s">
        <v>190</v>
      </c>
      <c r="C315" s="26" t="s">
        <v>477</v>
      </c>
      <c r="D315" s="27">
        <v>35580</v>
      </c>
      <c r="E315" s="27">
        <v>35584</v>
      </c>
      <c r="F315" s="26" t="s">
        <v>136</v>
      </c>
      <c r="G315" s="28">
        <v>164.439</v>
      </c>
      <c r="H315" s="29" t="s">
        <v>191</v>
      </c>
    </row>
    <row r="316" spans="1:8">
      <c r="A316" s="20">
        <v>10554</v>
      </c>
      <c r="B316" s="21" t="s">
        <v>189</v>
      </c>
      <c r="C316" s="21" t="s">
        <v>472</v>
      </c>
      <c r="D316" s="22">
        <v>35580</v>
      </c>
      <c r="E316" s="22">
        <v>35586</v>
      </c>
      <c r="F316" s="21" t="s">
        <v>243</v>
      </c>
      <c r="G316" s="23">
        <v>133.067</v>
      </c>
      <c r="H316" s="24" t="s">
        <v>150</v>
      </c>
    </row>
    <row r="317" spans="1:8">
      <c r="A317" s="25">
        <v>10555</v>
      </c>
      <c r="B317" s="26" t="s">
        <v>197</v>
      </c>
      <c r="C317" s="26" t="s">
        <v>471</v>
      </c>
      <c r="D317" s="27">
        <v>35583</v>
      </c>
      <c r="E317" s="27">
        <v>35585</v>
      </c>
      <c r="F317" s="26" t="s">
        <v>243</v>
      </c>
      <c r="G317" s="28">
        <v>277.739</v>
      </c>
      <c r="H317" s="29" t="s">
        <v>145</v>
      </c>
    </row>
    <row r="318" spans="1:8">
      <c r="A318" s="20">
        <v>10556</v>
      </c>
      <c r="B318" s="21" t="s">
        <v>233</v>
      </c>
      <c r="C318" s="21" t="s">
        <v>477</v>
      </c>
      <c r="D318" s="22">
        <v>35584</v>
      </c>
      <c r="E318" s="22">
        <v>35594</v>
      </c>
      <c r="F318" s="21" t="s">
        <v>249</v>
      </c>
      <c r="G318" s="23">
        <v>10.78</v>
      </c>
      <c r="H318" s="24" t="s">
        <v>222</v>
      </c>
    </row>
    <row r="319" spans="1:8">
      <c r="A319" s="25">
        <v>10557</v>
      </c>
      <c r="B319" s="26" t="s">
        <v>149</v>
      </c>
      <c r="C319" s="26" t="s">
        <v>474</v>
      </c>
      <c r="D319" s="27">
        <v>35584</v>
      </c>
      <c r="E319" s="27">
        <v>35587</v>
      </c>
      <c r="F319" s="26" t="s">
        <v>136</v>
      </c>
      <c r="G319" s="28">
        <v>106.392</v>
      </c>
      <c r="H319" s="29" t="s">
        <v>150</v>
      </c>
    </row>
    <row r="320" spans="1:8">
      <c r="A320" s="20">
        <v>10558</v>
      </c>
      <c r="B320" s="21" t="s">
        <v>201</v>
      </c>
      <c r="C320" s="21" t="s">
        <v>475</v>
      </c>
      <c r="D320" s="22">
        <v>35585</v>
      </c>
      <c r="E320" s="22">
        <v>35591</v>
      </c>
      <c r="F320" s="21" t="s">
        <v>136</v>
      </c>
      <c r="G320" s="23">
        <v>80.267</v>
      </c>
      <c r="H320" s="24" t="s">
        <v>169</v>
      </c>
    </row>
    <row r="321" spans="1:8">
      <c r="A321" s="25">
        <v>10559</v>
      </c>
      <c r="B321" s="26" t="s">
        <v>155</v>
      </c>
      <c r="C321" s="26" t="s">
        <v>471</v>
      </c>
      <c r="D321" s="27">
        <v>35586</v>
      </c>
      <c r="E321" s="27">
        <v>35594</v>
      </c>
      <c r="F321" s="26" t="s">
        <v>249</v>
      </c>
      <c r="G321" s="28">
        <v>8.855</v>
      </c>
      <c r="H321" s="29" t="s">
        <v>154</v>
      </c>
    </row>
    <row r="322" spans="1:8">
      <c r="A322" s="20">
        <v>10560</v>
      </c>
      <c r="B322" s="21" t="s">
        <v>176</v>
      </c>
      <c r="C322" s="21" t="s">
        <v>476</v>
      </c>
      <c r="D322" s="22">
        <v>35587</v>
      </c>
      <c r="E322" s="22">
        <v>35590</v>
      </c>
      <c r="F322" s="21" t="s">
        <v>249</v>
      </c>
      <c r="G322" s="23">
        <v>40.315</v>
      </c>
      <c r="H322" s="24" t="s">
        <v>150</v>
      </c>
    </row>
    <row r="323" spans="1:8">
      <c r="A323" s="25">
        <v>10561</v>
      </c>
      <c r="B323" s="26" t="s">
        <v>194</v>
      </c>
      <c r="C323" s="26" t="s">
        <v>477</v>
      </c>
      <c r="D323" s="27">
        <v>35587</v>
      </c>
      <c r="E323" s="27">
        <v>35590</v>
      </c>
      <c r="F323" s="26" t="s">
        <v>136</v>
      </c>
      <c r="G323" s="28">
        <v>266.431</v>
      </c>
      <c r="H323" s="29" t="s">
        <v>148</v>
      </c>
    </row>
    <row r="324" spans="1:8">
      <c r="A324" s="20">
        <v>10562</v>
      </c>
      <c r="B324" s="21" t="s">
        <v>229</v>
      </c>
      <c r="C324" s="21" t="s">
        <v>475</v>
      </c>
      <c r="D324" s="22">
        <v>35590</v>
      </c>
      <c r="E324" s="22">
        <v>35593</v>
      </c>
      <c r="F324" s="21" t="s">
        <v>249</v>
      </c>
      <c r="G324" s="23">
        <v>25.245</v>
      </c>
      <c r="H324" s="24" t="s">
        <v>160</v>
      </c>
    </row>
    <row r="325" spans="1:8">
      <c r="A325" s="25">
        <v>10563</v>
      </c>
      <c r="B325" s="26" t="s">
        <v>158</v>
      </c>
      <c r="C325" s="26" t="s">
        <v>477</v>
      </c>
      <c r="D325" s="27">
        <v>35591</v>
      </c>
      <c r="E325" s="27">
        <v>35605</v>
      </c>
      <c r="F325" s="26" t="s">
        <v>136</v>
      </c>
      <c r="G325" s="28">
        <v>66.473</v>
      </c>
      <c r="H325" s="29" t="s">
        <v>137</v>
      </c>
    </row>
    <row r="326" spans="1:8">
      <c r="A326" s="20">
        <v>10564</v>
      </c>
      <c r="B326" s="21" t="s">
        <v>146</v>
      </c>
      <c r="C326" s="21" t="s">
        <v>472</v>
      </c>
      <c r="D326" s="22">
        <v>35591</v>
      </c>
      <c r="E326" s="22">
        <v>35597</v>
      </c>
      <c r="F326" s="21" t="s">
        <v>243</v>
      </c>
      <c r="G326" s="23">
        <v>15.125</v>
      </c>
      <c r="H326" s="24" t="s">
        <v>145</v>
      </c>
    </row>
    <row r="327" spans="1:8">
      <c r="A327" s="25">
        <v>10565</v>
      </c>
      <c r="B327" s="26" t="s">
        <v>171</v>
      </c>
      <c r="C327" s="26" t="s">
        <v>476</v>
      </c>
      <c r="D327" s="27">
        <v>35592</v>
      </c>
      <c r="E327" s="27">
        <v>35599</v>
      </c>
      <c r="F327" s="26" t="s">
        <v>136</v>
      </c>
      <c r="G327" s="28">
        <v>7.865</v>
      </c>
      <c r="H327" s="29" t="s">
        <v>172</v>
      </c>
    </row>
    <row r="328" spans="1:8">
      <c r="A328" s="20">
        <v>10566</v>
      </c>
      <c r="B328" s="21" t="s">
        <v>155</v>
      </c>
      <c r="C328" s="21" t="s">
        <v>474</v>
      </c>
      <c r="D328" s="22">
        <v>35593</v>
      </c>
      <c r="E328" s="22">
        <v>35599</v>
      </c>
      <c r="F328" s="21" t="s">
        <v>249</v>
      </c>
      <c r="G328" s="23">
        <v>97.24</v>
      </c>
      <c r="H328" s="24" t="s">
        <v>154</v>
      </c>
    </row>
    <row r="329" spans="1:8">
      <c r="A329" s="25">
        <v>10567</v>
      </c>
      <c r="B329" s="26" t="s">
        <v>156</v>
      </c>
      <c r="C329" s="26" t="s">
        <v>475</v>
      </c>
      <c r="D329" s="27">
        <v>35593</v>
      </c>
      <c r="E329" s="27">
        <v>35598</v>
      </c>
      <c r="F329" s="26" t="s">
        <v>249</v>
      </c>
      <c r="G329" s="28">
        <v>37.367</v>
      </c>
      <c r="H329" s="29" t="s">
        <v>157</v>
      </c>
    </row>
    <row r="330" spans="1:8">
      <c r="A330" s="20">
        <v>10568</v>
      </c>
      <c r="B330" s="21" t="s">
        <v>180</v>
      </c>
      <c r="C330" s="21" t="s">
        <v>473</v>
      </c>
      <c r="D330" s="22">
        <v>35594</v>
      </c>
      <c r="E330" s="22">
        <v>35620</v>
      </c>
      <c r="F330" s="21" t="s">
        <v>243</v>
      </c>
      <c r="G330" s="23">
        <v>7.194</v>
      </c>
      <c r="H330" s="24" t="s">
        <v>163</v>
      </c>
    </row>
    <row r="331" spans="1:8">
      <c r="A331" s="25">
        <v>10569</v>
      </c>
      <c r="B331" s="26" t="s">
        <v>146</v>
      </c>
      <c r="C331" s="26" t="s">
        <v>470</v>
      </c>
      <c r="D331" s="27">
        <v>35597</v>
      </c>
      <c r="E331" s="27">
        <v>35622</v>
      </c>
      <c r="F331" s="26" t="s">
        <v>249</v>
      </c>
      <c r="G331" s="28">
        <v>64.878</v>
      </c>
      <c r="H331" s="29" t="s">
        <v>145</v>
      </c>
    </row>
    <row r="332" spans="1:8">
      <c r="A332" s="20">
        <v>10570</v>
      </c>
      <c r="B332" s="21" t="s">
        <v>171</v>
      </c>
      <c r="C332" s="21" t="s">
        <v>473</v>
      </c>
      <c r="D332" s="22">
        <v>35598</v>
      </c>
      <c r="E332" s="22">
        <v>35600</v>
      </c>
      <c r="F332" s="21" t="s">
        <v>243</v>
      </c>
      <c r="G332" s="23">
        <v>207.889</v>
      </c>
      <c r="H332" s="24" t="s">
        <v>172</v>
      </c>
    </row>
    <row r="333" spans="1:8">
      <c r="A333" s="25">
        <v>10571</v>
      </c>
      <c r="B333" s="26" t="s">
        <v>182</v>
      </c>
      <c r="C333" s="26" t="s">
        <v>476</v>
      </c>
      <c r="D333" s="27">
        <v>35598</v>
      </c>
      <c r="E333" s="27">
        <v>35615</v>
      </c>
      <c r="F333" s="26" t="s">
        <v>243</v>
      </c>
      <c r="G333" s="28">
        <v>28.666</v>
      </c>
      <c r="H333" s="29" t="s">
        <v>183</v>
      </c>
    </row>
    <row r="334" spans="1:8">
      <c r="A334" s="20">
        <v>10572</v>
      </c>
      <c r="B334" s="21" t="s">
        <v>147</v>
      </c>
      <c r="C334" s="21" t="s">
        <v>473</v>
      </c>
      <c r="D334" s="22">
        <v>35599</v>
      </c>
      <c r="E334" s="22">
        <v>35606</v>
      </c>
      <c r="F334" s="21" t="s">
        <v>136</v>
      </c>
      <c r="G334" s="23">
        <v>128.073</v>
      </c>
      <c r="H334" s="24" t="s">
        <v>148</v>
      </c>
    </row>
    <row r="335" spans="1:8">
      <c r="A335" s="25">
        <v>10573</v>
      </c>
      <c r="B335" s="26" t="s">
        <v>179</v>
      </c>
      <c r="C335" s="26" t="s">
        <v>478</v>
      </c>
      <c r="D335" s="27">
        <v>35600</v>
      </c>
      <c r="E335" s="27">
        <v>35601</v>
      </c>
      <c r="F335" s="26" t="s">
        <v>243</v>
      </c>
      <c r="G335" s="28">
        <v>93.324</v>
      </c>
      <c r="H335" s="29" t="s">
        <v>165</v>
      </c>
    </row>
    <row r="336" spans="1:8">
      <c r="A336" s="20">
        <v>10574</v>
      </c>
      <c r="B336" s="21" t="s">
        <v>218</v>
      </c>
      <c r="C336" s="21" t="s">
        <v>472</v>
      </c>
      <c r="D336" s="22">
        <v>35600</v>
      </c>
      <c r="E336" s="22">
        <v>35611</v>
      </c>
      <c r="F336" s="21" t="s">
        <v>136</v>
      </c>
      <c r="G336" s="23">
        <v>41.36</v>
      </c>
      <c r="H336" s="24" t="s">
        <v>145</v>
      </c>
    </row>
    <row r="337" spans="1:8">
      <c r="A337" s="25">
        <v>10575</v>
      </c>
      <c r="B337" s="26" t="s">
        <v>231</v>
      </c>
      <c r="C337" s="26" t="s">
        <v>470</v>
      </c>
      <c r="D337" s="27">
        <v>35601</v>
      </c>
      <c r="E337" s="27">
        <v>35611</v>
      </c>
      <c r="F337" s="26" t="s">
        <v>249</v>
      </c>
      <c r="G337" s="28">
        <v>140.074</v>
      </c>
      <c r="H337" s="29" t="s">
        <v>150</v>
      </c>
    </row>
    <row r="338" spans="1:8">
      <c r="A338" s="20">
        <v>10576</v>
      </c>
      <c r="B338" s="21" t="s">
        <v>164</v>
      </c>
      <c r="C338" s="21" t="s">
        <v>473</v>
      </c>
      <c r="D338" s="22">
        <v>35604</v>
      </c>
      <c r="E338" s="22">
        <v>35611</v>
      </c>
      <c r="F338" s="21" t="s">
        <v>243</v>
      </c>
      <c r="G338" s="23">
        <v>20.416</v>
      </c>
      <c r="H338" s="24" t="s">
        <v>165</v>
      </c>
    </row>
    <row r="339" spans="1:8">
      <c r="A339" s="25">
        <v>10577</v>
      </c>
      <c r="B339" s="26" t="s">
        <v>218</v>
      </c>
      <c r="C339" s="26" t="s">
        <v>474</v>
      </c>
      <c r="D339" s="27">
        <v>35604</v>
      </c>
      <c r="E339" s="27">
        <v>35611</v>
      </c>
      <c r="F339" s="26" t="s">
        <v>136</v>
      </c>
      <c r="G339" s="28">
        <v>27.951</v>
      </c>
      <c r="H339" s="29" t="s">
        <v>145</v>
      </c>
    </row>
    <row r="340" spans="1:8">
      <c r="A340" s="20">
        <v>10578</v>
      </c>
      <c r="B340" s="21" t="s">
        <v>236</v>
      </c>
      <c r="C340" s="21" t="s">
        <v>472</v>
      </c>
      <c r="D340" s="22">
        <v>35605</v>
      </c>
      <c r="E340" s="22">
        <v>35636</v>
      </c>
      <c r="F340" s="21" t="s">
        <v>243</v>
      </c>
      <c r="G340" s="23">
        <v>32.56</v>
      </c>
      <c r="H340" s="24" t="s">
        <v>169</v>
      </c>
    </row>
    <row r="341" spans="1:8">
      <c r="A341" s="25">
        <v>10579</v>
      </c>
      <c r="B341" s="26" t="s">
        <v>219</v>
      </c>
      <c r="C341" s="26" t="s">
        <v>475</v>
      </c>
      <c r="D341" s="27">
        <v>35606</v>
      </c>
      <c r="E341" s="27">
        <v>35615</v>
      </c>
      <c r="F341" s="26" t="s">
        <v>136</v>
      </c>
      <c r="G341" s="28">
        <v>15.103</v>
      </c>
      <c r="H341" s="29" t="s">
        <v>145</v>
      </c>
    </row>
    <row r="342" spans="1:8">
      <c r="A342" s="20">
        <v>10580</v>
      </c>
      <c r="B342" s="21" t="s">
        <v>189</v>
      </c>
      <c r="C342" s="21" t="s">
        <v>472</v>
      </c>
      <c r="D342" s="22">
        <v>35607</v>
      </c>
      <c r="E342" s="22">
        <v>35612</v>
      </c>
      <c r="F342" s="21" t="s">
        <v>243</v>
      </c>
      <c r="G342" s="23">
        <v>83.479</v>
      </c>
      <c r="H342" s="24" t="s">
        <v>150</v>
      </c>
    </row>
    <row r="343" spans="1:8">
      <c r="A343" s="25">
        <v>10581</v>
      </c>
      <c r="B343" s="26" t="s">
        <v>212</v>
      </c>
      <c r="C343" s="26" t="s">
        <v>473</v>
      </c>
      <c r="D343" s="27">
        <v>35607</v>
      </c>
      <c r="E343" s="27">
        <v>35613</v>
      </c>
      <c r="F343" s="26" t="s">
        <v>249</v>
      </c>
      <c r="G343" s="28">
        <v>3.311</v>
      </c>
      <c r="H343" s="29" t="s">
        <v>137</v>
      </c>
    </row>
    <row r="344" spans="1:8">
      <c r="A344" s="20">
        <v>10582</v>
      </c>
      <c r="B344" s="21" t="s">
        <v>220</v>
      </c>
      <c r="C344" s="21" t="s">
        <v>473</v>
      </c>
      <c r="D344" s="22">
        <v>35608</v>
      </c>
      <c r="E344" s="22">
        <v>35625</v>
      </c>
      <c r="F344" s="21" t="s">
        <v>136</v>
      </c>
      <c r="G344" s="23">
        <v>30.481</v>
      </c>
      <c r="H344" s="24" t="s">
        <v>150</v>
      </c>
    </row>
    <row r="345" spans="1:8">
      <c r="A345" s="25">
        <v>10583</v>
      </c>
      <c r="B345" s="26" t="s">
        <v>190</v>
      </c>
      <c r="C345" s="26" t="s">
        <v>477</v>
      </c>
      <c r="D345" s="27">
        <v>35611</v>
      </c>
      <c r="E345" s="27">
        <v>35615</v>
      </c>
      <c r="F345" s="26" t="s">
        <v>136</v>
      </c>
      <c r="G345" s="28">
        <v>8.008</v>
      </c>
      <c r="H345" s="29" t="s">
        <v>191</v>
      </c>
    </row>
    <row r="346" spans="1:8">
      <c r="A346" s="20">
        <v>10584</v>
      </c>
      <c r="B346" s="21" t="s">
        <v>155</v>
      </c>
      <c r="C346" s="21" t="s">
        <v>472</v>
      </c>
      <c r="D346" s="22">
        <v>35611</v>
      </c>
      <c r="E346" s="22">
        <v>35615</v>
      </c>
      <c r="F346" s="21" t="s">
        <v>249</v>
      </c>
      <c r="G346" s="23">
        <v>65.054</v>
      </c>
      <c r="H346" s="24" t="s">
        <v>154</v>
      </c>
    </row>
    <row r="347" spans="1:8">
      <c r="A347" s="25">
        <v>10585</v>
      </c>
      <c r="B347" s="26" t="s">
        <v>142</v>
      </c>
      <c r="C347" s="26" t="s">
        <v>478</v>
      </c>
      <c r="D347" s="27">
        <v>35612</v>
      </c>
      <c r="E347" s="27">
        <v>35621</v>
      </c>
      <c r="F347" s="26" t="s">
        <v>249</v>
      </c>
      <c r="G347" s="28">
        <v>14.751</v>
      </c>
      <c r="H347" s="29" t="s">
        <v>137</v>
      </c>
    </row>
    <row r="348" spans="1:8">
      <c r="A348" s="20">
        <v>10586</v>
      </c>
      <c r="B348" s="21" t="s">
        <v>229</v>
      </c>
      <c r="C348" s="21" t="s">
        <v>474</v>
      </c>
      <c r="D348" s="22">
        <v>35613</v>
      </c>
      <c r="E348" s="22">
        <v>35620</v>
      </c>
      <c r="F348" s="21" t="s">
        <v>249</v>
      </c>
      <c r="G348" s="23">
        <v>0.528</v>
      </c>
      <c r="H348" s="24" t="s">
        <v>160</v>
      </c>
    </row>
    <row r="349" spans="1:8">
      <c r="A349" s="25">
        <v>10587</v>
      </c>
      <c r="B349" s="26" t="s">
        <v>143</v>
      </c>
      <c r="C349" s="26" t="s">
        <v>475</v>
      </c>
      <c r="D349" s="27">
        <v>35613</v>
      </c>
      <c r="E349" s="27">
        <v>35620</v>
      </c>
      <c r="F349" s="26" t="s">
        <v>249</v>
      </c>
      <c r="G349" s="28">
        <v>68.772</v>
      </c>
      <c r="H349" s="29" t="s">
        <v>137</v>
      </c>
    </row>
    <row r="350" spans="1:8">
      <c r="A350" s="20">
        <v>10588</v>
      </c>
      <c r="B350" s="21" t="s">
        <v>151</v>
      </c>
      <c r="C350" s="21" t="s">
        <v>477</v>
      </c>
      <c r="D350" s="22">
        <v>35614</v>
      </c>
      <c r="E350" s="22">
        <v>35621</v>
      </c>
      <c r="F350" s="21" t="s">
        <v>243</v>
      </c>
      <c r="G350" s="23">
        <v>214.137</v>
      </c>
      <c r="H350" s="24" t="s">
        <v>150</v>
      </c>
    </row>
    <row r="351" spans="1:8">
      <c r="A351" s="25">
        <v>10589</v>
      </c>
      <c r="B351" s="26" t="s">
        <v>215</v>
      </c>
      <c r="C351" s="26" t="s">
        <v>476</v>
      </c>
      <c r="D351" s="27">
        <v>35615</v>
      </c>
      <c r="E351" s="27">
        <v>35625</v>
      </c>
      <c r="F351" s="26" t="s">
        <v>136</v>
      </c>
      <c r="G351" s="28">
        <v>4.862</v>
      </c>
      <c r="H351" s="29" t="s">
        <v>145</v>
      </c>
    </row>
    <row r="352" spans="1:8">
      <c r="A352" s="20">
        <v>10590</v>
      </c>
      <c r="B352" s="21" t="s">
        <v>171</v>
      </c>
      <c r="C352" s="21" t="s">
        <v>472</v>
      </c>
      <c r="D352" s="22">
        <v>35618</v>
      </c>
      <c r="E352" s="22">
        <v>35625</v>
      </c>
      <c r="F352" s="21" t="s">
        <v>243</v>
      </c>
      <c r="G352" s="23">
        <v>49.247</v>
      </c>
      <c r="H352" s="24" t="s">
        <v>172</v>
      </c>
    </row>
    <row r="353" spans="1:8">
      <c r="A353" s="25">
        <v>10591</v>
      </c>
      <c r="B353" s="26" t="s">
        <v>221</v>
      </c>
      <c r="C353" s="26" t="s">
        <v>475</v>
      </c>
      <c r="D353" s="27">
        <v>35618</v>
      </c>
      <c r="E353" s="27">
        <v>35627</v>
      </c>
      <c r="F353" s="26" t="s">
        <v>249</v>
      </c>
      <c r="G353" s="28">
        <v>61.512</v>
      </c>
      <c r="H353" s="29" t="s">
        <v>222</v>
      </c>
    </row>
    <row r="354" spans="1:8">
      <c r="A354" s="20">
        <v>10592</v>
      </c>
      <c r="B354" s="21" t="s">
        <v>149</v>
      </c>
      <c r="C354" s="21" t="s">
        <v>473</v>
      </c>
      <c r="D354" s="22">
        <v>35619</v>
      </c>
      <c r="E354" s="22">
        <v>35627</v>
      </c>
      <c r="F354" s="21" t="s">
        <v>249</v>
      </c>
      <c r="G354" s="23">
        <v>35.31</v>
      </c>
      <c r="H354" s="24" t="s">
        <v>150</v>
      </c>
    </row>
    <row r="355" spans="1:8">
      <c r="A355" s="25">
        <v>10593</v>
      </c>
      <c r="B355" s="26" t="s">
        <v>149</v>
      </c>
      <c r="C355" s="26" t="s">
        <v>478</v>
      </c>
      <c r="D355" s="27">
        <v>35620</v>
      </c>
      <c r="E355" s="27">
        <v>35655</v>
      </c>
      <c r="F355" s="26" t="s">
        <v>136</v>
      </c>
      <c r="G355" s="28">
        <v>191.62</v>
      </c>
      <c r="H355" s="29" t="s">
        <v>150</v>
      </c>
    </row>
    <row r="356" spans="1:8">
      <c r="A356" s="20">
        <v>10594</v>
      </c>
      <c r="B356" s="21" t="s">
        <v>198</v>
      </c>
      <c r="C356" s="21" t="s">
        <v>473</v>
      </c>
      <c r="D356" s="22">
        <v>35620</v>
      </c>
      <c r="E356" s="22">
        <v>35627</v>
      </c>
      <c r="F356" s="21" t="s">
        <v>136</v>
      </c>
      <c r="G356" s="23">
        <v>5.764</v>
      </c>
      <c r="H356" s="24" t="s">
        <v>145</v>
      </c>
    </row>
    <row r="357" spans="1:8">
      <c r="A357" s="25">
        <v>10595</v>
      </c>
      <c r="B357" s="26" t="s">
        <v>182</v>
      </c>
      <c r="C357" s="26" t="s">
        <v>477</v>
      </c>
      <c r="D357" s="27">
        <v>35621</v>
      </c>
      <c r="E357" s="27">
        <v>35625</v>
      </c>
      <c r="F357" s="26" t="s">
        <v>249</v>
      </c>
      <c r="G357" s="28">
        <v>106.458</v>
      </c>
      <c r="H357" s="29" t="s">
        <v>183</v>
      </c>
    </row>
    <row r="358" spans="1:8">
      <c r="A358" s="20">
        <v>10596</v>
      </c>
      <c r="B358" s="21" t="s">
        <v>177</v>
      </c>
      <c r="C358" s="21" t="s">
        <v>476</v>
      </c>
      <c r="D358" s="22">
        <v>35622</v>
      </c>
      <c r="E358" s="22">
        <v>35654</v>
      </c>
      <c r="F358" s="21" t="s">
        <v>249</v>
      </c>
      <c r="G358" s="23">
        <v>17.974</v>
      </c>
      <c r="H358" s="24" t="s">
        <v>145</v>
      </c>
    </row>
    <row r="359" spans="1:8">
      <c r="A359" s="25">
        <v>10597</v>
      </c>
      <c r="B359" s="26" t="s">
        <v>193</v>
      </c>
      <c r="C359" s="26" t="s">
        <v>478</v>
      </c>
      <c r="D359" s="27">
        <v>35622</v>
      </c>
      <c r="E359" s="27">
        <v>35629</v>
      </c>
      <c r="F359" s="26" t="s">
        <v>243</v>
      </c>
      <c r="G359" s="28">
        <v>38.632</v>
      </c>
      <c r="H359" s="29" t="s">
        <v>183</v>
      </c>
    </row>
    <row r="360" spans="1:8">
      <c r="A360" s="20">
        <v>10598</v>
      </c>
      <c r="B360" s="21" t="s">
        <v>146</v>
      </c>
      <c r="C360" s="21" t="s">
        <v>475</v>
      </c>
      <c r="D360" s="22">
        <v>35625</v>
      </c>
      <c r="E360" s="22">
        <v>35629</v>
      </c>
      <c r="F360" s="21" t="s">
        <v>243</v>
      </c>
      <c r="G360" s="23">
        <v>48.862</v>
      </c>
      <c r="H360" s="24" t="s">
        <v>145</v>
      </c>
    </row>
    <row r="361" spans="1:8">
      <c r="A361" s="25">
        <v>10599</v>
      </c>
      <c r="B361" s="26" t="s">
        <v>236</v>
      </c>
      <c r="C361" s="26" t="s">
        <v>471</v>
      </c>
      <c r="D361" s="27">
        <v>35626</v>
      </c>
      <c r="E361" s="27">
        <v>35632</v>
      </c>
      <c r="F361" s="26" t="s">
        <v>243</v>
      </c>
      <c r="G361" s="28">
        <v>32.978</v>
      </c>
      <c r="H361" s="29" t="s">
        <v>169</v>
      </c>
    </row>
    <row r="362" spans="1:8">
      <c r="A362" s="20">
        <v>10600</v>
      </c>
      <c r="B362" s="21" t="s">
        <v>185</v>
      </c>
      <c r="C362" s="21" t="s">
        <v>472</v>
      </c>
      <c r="D362" s="22">
        <v>35627</v>
      </c>
      <c r="E362" s="22">
        <v>35632</v>
      </c>
      <c r="F362" s="21" t="s">
        <v>249</v>
      </c>
      <c r="G362" s="23">
        <v>49.643</v>
      </c>
      <c r="H362" s="24" t="s">
        <v>145</v>
      </c>
    </row>
    <row r="363" spans="1:8">
      <c r="A363" s="25">
        <v>10601</v>
      </c>
      <c r="B363" s="26" t="s">
        <v>209</v>
      </c>
      <c r="C363" s="26" t="s">
        <v>478</v>
      </c>
      <c r="D363" s="27">
        <v>35627</v>
      </c>
      <c r="E363" s="27">
        <v>35633</v>
      </c>
      <c r="F363" s="26" t="s">
        <v>249</v>
      </c>
      <c r="G363" s="28">
        <v>64.13</v>
      </c>
      <c r="H363" s="29" t="s">
        <v>208</v>
      </c>
    </row>
    <row r="364" spans="1:8">
      <c r="A364" s="20">
        <v>10602</v>
      </c>
      <c r="B364" s="21" t="s">
        <v>221</v>
      </c>
      <c r="C364" s="21" t="s">
        <v>476</v>
      </c>
      <c r="D364" s="22">
        <v>35628</v>
      </c>
      <c r="E364" s="22">
        <v>35633</v>
      </c>
      <c r="F364" s="21" t="s">
        <v>136</v>
      </c>
      <c r="G364" s="23">
        <v>3.212</v>
      </c>
      <c r="H364" s="24" t="s">
        <v>222</v>
      </c>
    </row>
    <row r="365" spans="1:8">
      <c r="A365" s="25">
        <v>10603</v>
      </c>
      <c r="B365" s="26" t="s">
        <v>197</v>
      </c>
      <c r="C365" s="26" t="s">
        <v>476</v>
      </c>
      <c r="D365" s="27">
        <v>35629</v>
      </c>
      <c r="E365" s="27">
        <v>35650</v>
      </c>
      <c r="F365" s="26" t="s">
        <v>136</v>
      </c>
      <c r="G365" s="28">
        <v>53.647</v>
      </c>
      <c r="H365" s="29" t="s">
        <v>145</v>
      </c>
    </row>
    <row r="366" spans="1:8">
      <c r="A366" s="20">
        <v>10604</v>
      </c>
      <c r="B366" s="21" t="s">
        <v>203</v>
      </c>
      <c r="C366" s="21" t="s">
        <v>475</v>
      </c>
      <c r="D366" s="22">
        <v>35629</v>
      </c>
      <c r="E366" s="22">
        <v>35640</v>
      </c>
      <c r="F366" s="21" t="s">
        <v>249</v>
      </c>
      <c r="G366" s="23">
        <v>8.206</v>
      </c>
      <c r="H366" s="24" t="s">
        <v>175</v>
      </c>
    </row>
    <row r="367" spans="1:8">
      <c r="A367" s="25">
        <v>10605</v>
      </c>
      <c r="B367" s="26" t="s">
        <v>171</v>
      </c>
      <c r="C367" s="26" t="s">
        <v>475</v>
      </c>
      <c r="D367" s="27">
        <v>35632</v>
      </c>
      <c r="E367" s="27">
        <v>35640</v>
      </c>
      <c r="F367" s="26" t="s">
        <v>136</v>
      </c>
      <c r="G367" s="28">
        <v>417.043</v>
      </c>
      <c r="H367" s="29" t="s">
        <v>172</v>
      </c>
    </row>
    <row r="368" spans="1:8">
      <c r="A368" s="20">
        <v>10606</v>
      </c>
      <c r="B368" s="21" t="s">
        <v>152</v>
      </c>
      <c r="C368" s="21" t="s">
        <v>472</v>
      </c>
      <c r="D368" s="22">
        <v>35633</v>
      </c>
      <c r="E368" s="22">
        <v>35642</v>
      </c>
      <c r="F368" s="21" t="s">
        <v>243</v>
      </c>
      <c r="G368" s="23">
        <v>87.34</v>
      </c>
      <c r="H368" s="24" t="s">
        <v>137</v>
      </c>
    </row>
    <row r="369" spans="1:8">
      <c r="A369" s="25">
        <v>10607</v>
      </c>
      <c r="B369" s="26" t="s">
        <v>197</v>
      </c>
      <c r="C369" s="26" t="s">
        <v>470</v>
      </c>
      <c r="D369" s="27">
        <v>35633</v>
      </c>
      <c r="E369" s="27">
        <v>35636</v>
      </c>
      <c r="F369" s="26" t="s">
        <v>249</v>
      </c>
      <c r="G369" s="28">
        <v>220.264</v>
      </c>
      <c r="H369" s="29" t="s">
        <v>145</v>
      </c>
    </row>
    <row r="370" spans="1:8">
      <c r="A370" s="20">
        <v>10608</v>
      </c>
      <c r="B370" s="21" t="s">
        <v>196</v>
      </c>
      <c r="C370" s="21" t="s">
        <v>472</v>
      </c>
      <c r="D370" s="22">
        <v>35634</v>
      </c>
      <c r="E370" s="22">
        <v>35643</v>
      </c>
      <c r="F370" s="21" t="s">
        <v>136</v>
      </c>
      <c r="G370" s="23">
        <v>30.569</v>
      </c>
      <c r="H370" s="24" t="s">
        <v>150</v>
      </c>
    </row>
    <row r="371" spans="1:8">
      <c r="A371" s="25">
        <v>10609</v>
      </c>
      <c r="B371" s="26" t="s">
        <v>223</v>
      </c>
      <c r="C371" s="26" t="s">
        <v>478</v>
      </c>
      <c r="D371" s="27">
        <v>35635</v>
      </c>
      <c r="E371" s="27">
        <v>35641</v>
      </c>
      <c r="F371" s="26" t="s">
        <v>136</v>
      </c>
      <c r="G371" s="28">
        <v>2.035</v>
      </c>
      <c r="H371" s="29" t="s">
        <v>154</v>
      </c>
    </row>
    <row r="372" spans="1:8">
      <c r="A372" s="20">
        <v>10610</v>
      </c>
      <c r="B372" s="21" t="s">
        <v>178</v>
      </c>
      <c r="C372" s="21" t="s">
        <v>476</v>
      </c>
      <c r="D372" s="22">
        <v>35636</v>
      </c>
      <c r="E372" s="22">
        <v>35648</v>
      </c>
      <c r="F372" s="21" t="s">
        <v>249</v>
      </c>
      <c r="G372" s="23">
        <v>29.458</v>
      </c>
      <c r="H372" s="24" t="s">
        <v>154</v>
      </c>
    </row>
    <row r="373" spans="1:8">
      <c r="A373" s="25">
        <v>10611</v>
      </c>
      <c r="B373" s="26" t="s">
        <v>224</v>
      </c>
      <c r="C373" s="26" t="s">
        <v>471</v>
      </c>
      <c r="D373" s="27">
        <v>35636</v>
      </c>
      <c r="E373" s="27">
        <v>35643</v>
      </c>
      <c r="F373" s="26" t="s">
        <v>136</v>
      </c>
      <c r="G373" s="28">
        <v>88.715</v>
      </c>
      <c r="H373" s="29" t="s">
        <v>226</v>
      </c>
    </row>
    <row r="374" spans="1:8">
      <c r="A374" s="20">
        <v>10612</v>
      </c>
      <c r="B374" s="21" t="s">
        <v>197</v>
      </c>
      <c r="C374" s="21" t="s">
        <v>475</v>
      </c>
      <c r="D374" s="22">
        <v>35639</v>
      </c>
      <c r="E374" s="22">
        <v>35643</v>
      </c>
      <c r="F374" s="21" t="s">
        <v>136</v>
      </c>
      <c r="G374" s="23">
        <v>598.488</v>
      </c>
      <c r="H374" s="24" t="s">
        <v>145</v>
      </c>
    </row>
    <row r="375" spans="1:8">
      <c r="A375" s="25">
        <v>10613</v>
      </c>
      <c r="B375" s="26" t="s">
        <v>209</v>
      </c>
      <c r="C375" s="26" t="s">
        <v>472</v>
      </c>
      <c r="D375" s="27">
        <v>35640</v>
      </c>
      <c r="E375" s="27">
        <v>35643</v>
      </c>
      <c r="F375" s="26" t="s">
        <v>136</v>
      </c>
      <c r="G375" s="28">
        <v>8.921</v>
      </c>
      <c r="H375" s="29" t="s">
        <v>208</v>
      </c>
    </row>
    <row r="376" spans="1:8">
      <c r="A376" s="20">
        <v>10614</v>
      </c>
      <c r="B376" s="21" t="s">
        <v>220</v>
      </c>
      <c r="C376" s="21" t="s">
        <v>476</v>
      </c>
      <c r="D376" s="22">
        <v>35640</v>
      </c>
      <c r="E376" s="22">
        <v>35643</v>
      </c>
      <c r="F376" s="21" t="s">
        <v>243</v>
      </c>
      <c r="G376" s="23">
        <v>2.123</v>
      </c>
      <c r="H376" s="24" t="s">
        <v>150</v>
      </c>
    </row>
    <row r="377" spans="1:8">
      <c r="A377" s="25">
        <v>10615</v>
      </c>
      <c r="B377" s="26" t="s">
        <v>242</v>
      </c>
      <c r="C377" s="26" t="s">
        <v>477</v>
      </c>
      <c r="D377" s="27">
        <v>35641</v>
      </c>
      <c r="E377" s="27">
        <v>35648</v>
      </c>
      <c r="F377" s="26" t="s">
        <v>243</v>
      </c>
      <c r="G377" s="28">
        <v>0.825</v>
      </c>
      <c r="H377" s="29" t="s">
        <v>191</v>
      </c>
    </row>
    <row r="378" spans="1:8">
      <c r="A378" s="20">
        <v>10616</v>
      </c>
      <c r="B378" s="21" t="s">
        <v>215</v>
      </c>
      <c r="C378" s="21" t="s">
        <v>475</v>
      </c>
      <c r="D378" s="22">
        <v>35642</v>
      </c>
      <c r="E378" s="22">
        <v>35647</v>
      </c>
      <c r="F378" s="21" t="s">
        <v>136</v>
      </c>
      <c r="G378" s="23">
        <v>128.183</v>
      </c>
      <c r="H378" s="24" t="s">
        <v>145</v>
      </c>
    </row>
    <row r="379" spans="1:8">
      <c r="A379" s="25">
        <v>10617</v>
      </c>
      <c r="B379" s="26" t="s">
        <v>215</v>
      </c>
      <c r="C379" s="26" t="s">
        <v>472</v>
      </c>
      <c r="D379" s="27">
        <v>35642</v>
      </c>
      <c r="E379" s="27">
        <v>35646</v>
      </c>
      <c r="F379" s="26" t="s">
        <v>136</v>
      </c>
      <c r="G379" s="28">
        <v>20.383</v>
      </c>
      <c r="H379" s="29" t="s">
        <v>145</v>
      </c>
    </row>
    <row r="380" spans="1:8">
      <c r="A380" s="20">
        <v>10618</v>
      </c>
      <c r="B380" s="21" t="s">
        <v>171</v>
      </c>
      <c r="C380" s="21" t="s">
        <v>475</v>
      </c>
      <c r="D380" s="22">
        <v>35643</v>
      </c>
      <c r="E380" s="22">
        <v>35650</v>
      </c>
      <c r="F380" s="21" t="s">
        <v>249</v>
      </c>
      <c r="G380" s="23">
        <v>170.148</v>
      </c>
      <c r="H380" s="24" t="s">
        <v>172</v>
      </c>
    </row>
    <row r="381" spans="1:8">
      <c r="A381" s="25">
        <v>10619</v>
      </c>
      <c r="B381" s="26" t="s">
        <v>171</v>
      </c>
      <c r="C381" s="26" t="s">
        <v>473</v>
      </c>
      <c r="D381" s="27">
        <v>35646</v>
      </c>
      <c r="E381" s="27">
        <v>35649</v>
      </c>
      <c r="F381" s="26" t="s">
        <v>243</v>
      </c>
      <c r="G381" s="28">
        <v>100.155</v>
      </c>
      <c r="H381" s="29" t="s">
        <v>172</v>
      </c>
    </row>
    <row r="382" spans="1:8">
      <c r="A382" s="20">
        <v>10620</v>
      </c>
      <c r="B382" s="21" t="s">
        <v>247</v>
      </c>
      <c r="C382" s="21" t="s">
        <v>477</v>
      </c>
      <c r="D382" s="22">
        <v>35647</v>
      </c>
      <c r="E382" s="22">
        <v>35656</v>
      </c>
      <c r="F382" s="21" t="s">
        <v>243</v>
      </c>
      <c r="G382" s="23">
        <v>1.034</v>
      </c>
      <c r="H382" s="24" t="s">
        <v>172</v>
      </c>
    </row>
    <row r="383" spans="1:8">
      <c r="A383" s="25">
        <v>10621</v>
      </c>
      <c r="B383" s="26" t="s">
        <v>168</v>
      </c>
      <c r="C383" s="26" t="s">
        <v>472</v>
      </c>
      <c r="D383" s="27">
        <v>35647</v>
      </c>
      <c r="E383" s="27">
        <v>35653</v>
      </c>
      <c r="F383" s="26" t="s">
        <v>136</v>
      </c>
      <c r="G383" s="28">
        <v>26.103</v>
      </c>
      <c r="H383" s="29" t="s">
        <v>169</v>
      </c>
    </row>
    <row r="384" spans="1:8">
      <c r="A384" s="20">
        <v>10622</v>
      </c>
      <c r="B384" s="21" t="s">
        <v>158</v>
      </c>
      <c r="C384" s="21" t="s">
        <v>472</v>
      </c>
      <c r="D384" s="22">
        <v>35648</v>
      </c>
      <c r="E384" s="22">
        <v>35653</v>
      </c>
      <c r="F384" s="21" t="s">
        <v>243</v>
      </c>
      <c r="G384" s="23">
        <v>56.067</v>
      </c>
      <c r="H384" s="24" t="s">
        <v>137</v>
      </c>
    </row>
    <row r="385" spans="1:8">
      <c r="A385" s="25">
        <v>10623</v>
      </c>
      <c r="B385" s="26" t="s">
        <v>176</v>
      </c>
      <c r="C385" s="26" t="s">
        <v>476</v>
      </c>
      <c r="D385" s="27">
        <v>35649</v>
      </c>
      <c r="E385" s="27">
        <v>35654</v>
      </c>
      <c r="F385" s="26" t="s">
        <v>136</v>
      </c>
      <c r="G385" s="28">
        <v>106.898</v>
      </c>
      <c r="H385" s="29" t="s">
        <v>150</v>
      </c>
    </row>
    <row r="386" spans="1:8">
      <c r="A386" s="20">
        <v>10624</v>
      </c>
      <c r="B386" s="21" t="s">
        <v>227</v>
      </c>
      <c r="C386" s="21" t="s">
        <v>472</v>
      </c>
      <c r="D386" s="22">
        <v>35649</v>
      </c>
      <c r="E386" s="22">
        <v>35661</v>
      </c>
      <c r="F386" s="21" t="s">
        <v>136</v>
      </c>
      <c r="G386" s="23">
        <v>104.28</v>
      </c>
      <c r="H386" s="24" t="s">
        <v>145</v>
      </c>
    </row>
    <row r="387" spans="1:8">
      <c r="A387" s="25">
        <v>10625</v>
      </c>
      <c r="B387" s="26" t="s">
        <v>246</v>
      </c>
      <c r="C387" s="26" t="s">
        <v>473</v>
      </c>
      <c r="D387" s="27">
        <v>35650</v>
      </c>
      <c r="E387" s="27">
        <v>35656</v>
      </c>
      <c r="F387" s="26" t="s">
        <v>249</v>
      </c>
      <c r="G387" s="28">
        <v>48.29</v>
      </c>
      <c r="H387" s="29" t="s">
        <v>165</v>
      </c>
    </row>
    <row r="388" spans="1:8">
      <c r="A388" s="20">
        <v>10626</v>
      </c>
      <c r="B388" s="21" t="s">
        <v>147</v>
      </c>
      <c r="C388" s="21" t="s">
        <v>475</v>
      </c>
      <c r="D388" s="22">
        <v>35653</v>
      </c>
      <c r="E388" s="22">
        <v>35662</v>
      </c>
      <c r="F388" s="21" t="s">
        <v>136</v>
      </c>
      <c r="G388" s="23">
        <v>152.559</v>
      </c>
      <c r="H388" s="24" t="s">
        <v>148</v>
      </c>
    </row>
    <row r="389" spans="1:8">
      <c r="A389" s="25">
        <v>10627</v>
      </c>
      <c r="B389" s="26" t="s">
        <v>197</v>
      </c>
      <c r="C389" s="26" t="s">
        <v>476</v>
      </c>
      <c r="D389" s="27">
        <v>35653</v>
      </c>
      <c r="E389" s="27">
        <v>35663</v>
      </c>
      <c r="F389" s="26" t="s">
        <v>243</v>
      </c>
      <c r="G389" s="28">
        <v>118.206</v>
      </c>
      <c r="H389" s="29" t="s">
        <v>145</v>
      </c>
    </row>
    <row r="390" spans="1:8">
      <c r="A390" s="20">
        <v>10628</v>
      </c>
      <c r="B390" s="21" t="s">
        <v>155</v>
      </c>
      <c r="C390" s="21" t="s">
        <v>472</v>
      </c>
      <c r="D390" s="22">
        <v>35654</v>
      </c>
      <c r="E390" s="22">
        <v>35662</v>
      </c>
      <c r="F390" s="21" t="s">
        <v>243</v>
      </c>
      <c r="G390" s="23">
        <v>33.396</v>
      </c>
      <c r="H390" s="24" t="s">
        <v>154</v>
      </c>
    </row>
    <row r="391" spans="1:8">
      <c r="A391" s="25">
        <v>10629</v>
      </c>
      <c r="B391" s="26" t="s">
        <v>162</v>
      </c>
      <c r="C391" s="26" t="s">
        <v>472</v>
      </c>
      <c r="D391" s="27">
        <v>35654</v>
      </c>
      <c r="E391" s="27">
        <v>35662</v>
      </c>
      <c r="F391" s="26" t="s">
        <v>243</v>
      </c>
      <c r="G391" s="28">
        <v>94.006</v>
      </c>
      <c r="H391" s="29" t="s">
        <v>163</v>
      </c>
    </row>
    <row r="392" spans="1:8">
      <c r="A392" s="20">
        <v>10630</v>
      </c>
      <c r="B392" s="21" t="s">
        <v>202</v>
      </c>
      <c r="C392" s="21" t="s">
        <v>475</v>
      </c>
      <c r="D392" s="22">
        <v>35655</v>
      </c>
      <c r="E392" s="22">
        <v>35661</v>
      </c>
      <c r="F392" s="21" t="s">
        <v>136</v>
      </c>
      <c r="G392" s="23">
        <v>35.585</v>
      </c>
      <c r="H392" s="24" t="s">
        <v>150</v>
      </c>
    </row>
    <row r="393" spans="1:8">
      <c r="A393" s="25">
        <v>10631</v>
      </c>
      <c r="B393" s="26" t="s">
        <v>178</v>
      </c>
      <c r="C393" s="26" t="s">
        <v>476</v>
      </c>
      <c r="D393" s="27">
        <v>35656</v>
      </c>
      <c r="E393" s="27">
        <v>35657</v>
      </c>
      <c r="F393" s="26" t="s">
        <v>249</v>
      </c>
      <c r="G393" s="28">
        <v>0.957</v>
      </c>
      <c r="H393" s="29" t="s">
        <v>154</v>
      </c>
    </row>
    <row r="394" spans="1:8">
      <c r="A394" s="20">
        <v>10632</v>
      </c>
      <c r="B394" s="21" t="s">
        <v>161</v>
      </c>
      <c r="C394" s="21" t="s">
        <v>476</v>
      </c>
      <c r="D394" s="22">
        <v>35656</v>
      </c>
      <c r="E394" s="22">
        <v>35661</v>
      </c>
      <c r="F394" s="21" t="s">
        <v>249</v>
      </c>
      <c r="G394" s="23">
        <v>45.518</v>
      </c>
      <c r="H394" s="24" t="s">
        <v>150</v>
      </c>
    </row>
    <row r="395" spans="1:8">
      <c r="A395" s="25">
        <v>10633</v>
      </c>
      <c r="B395" s="26" t="s">
        <v>182</v>
      </c>
      <c r="C395" s="26" t="s">
        <v>478</v>
      </c>
      <c r="D395" s="27">
        <v>35657</v>
      </c>
      <c r="E395" s="27">
        <v>35660</v>
      </c>
      <c r="F395" s="26" t="s">
        <v>243</v>
      </c>
      <c r="G395" s="28">
        <v>525.69</v>
      </c>
      <c r="H395" s="29" t="s">
        <v>183</v>
      </c>
    </row>
    <row r="396" spans="1:8">
      <c r="A396" s="20">
        <v>10634</v>
      </c>
      <c r="B396" s="21" t="s">
        <v>206</v>
      </c>
      <c r="C396" s="21" t="s">
        <v>472</v>
      </c>
      <c r="D396" s="22">
        <v>35657</v>
      </c>
      <c r="E396" s="22">
        <v>35663</v>
      </c>
      <c r="F396" s="21" t="s">
        <v>243</v>
      </c>
      <c r="G396" s="23">
        <v>536.118</v>
      </c>
      <c r="H396" s="24" t="s">
        <v>154</v>
      </c>
    </row>
    <row r="397" spans="1:8">
      <c r="A397" s="25">
        <v>10635</v>
      </c>
      <c r="B397" s="26" t="s">
        <v>159</v>
      </c>
      <c r="C397" s="26" t="s">
        <v>476</v>
      </c>
      <c r="D397" s="27">
        <v>35660</v>
      </c>
      <c r="E397" s="27">
        <v>35663</v>
      </c>
      <c r="F397" s="26" t="s">
        <v>243</v>
      </c>
      <c r="G397" s="28">
        <v>52.206</v>
      </c>
      <c r="H397" s="29" t="s">
        <v>160</v>
      </c>
    </row>
    <row r="398" spans="1:8">
      <c r="A398" s="20">
        <v>10636</v>
      </c>
      <c r="B398" s="21" t="s">
        <v>190</v>
      </c>
      <c r="C398" s="21" t="s">
        <v>472</v>
      </c>
      <c r="D398" s="22">
        <v>35661</v>
      </c>
      <c r="E398" s="22">
        <v>35668</v>
      </c>
      <c r="F398" s="21" t="s">
        <v>249</v>
      </c>
      <c r="G398" s="23">
        <v>1.265</v>
      </c>
      <c r="H398" s="24" t="s">
        <v>191</v>
      </c>
    </row>
    <row r="399" spans="1:8">
      <c r="A399" s="25">
        <v>10637</v>
      </c>
      <c r="B399" s="26" t="s">
        <v>184</v>
      </c>
      <c r="C399" s="26" t="s">
        <v>471</v>
      </c>
      <c r="D399" s="27">
        <v>35661</v>
      </c>
      <c r="E399" s="27">
        <v>35668</v>
      </c>
      <c r="F399" s="26" t="s">
        <v>249</v>
      </c>
      <c r="G399" s="28">
        <v>221.419</v>
      </c>
      <c r="H399" s="29" t="s">
        <v>137</v>
      </c>
    </row>
    <row r="400" spans="1:8">
      <c r="A400" s="20">
        <v>10638</v>
      </c>
      <c r="B400" s="21" t="s">
        <v>207</v>
      </c>
      <c r="C400" s="21" t="s">
        <v>473</v>
      </c>
      <c r="D400" s="22">
        <v>35662</v>
      </c>
      <c r="E400" s="22">
        <v>35674</v>
      </c>
      <c r="F400" s="21" t="s">
        <v>249</v>
      </c>
      <c r="G400" s="23">
        <v>174.284</v>
      </c>
      <c r="H400" s="24" t="s">
        <v>208</v>
      </c>
    </row>
    <row r="401" spans="1:8">
      <c r="A401" s="25">
        <v>10639</v>
      </c>
      <c r="B401" s="26" t="s">
        <v>186</v>
      </c>
      <c r="C401" s="26" t="s">
        <v>478</v>
      </c>
      <c r="D401" s="27">
        <v>35662</v>
      </c>
      <c r="E401" s="27">
        <v>35669</v>
      </c>
      <c r="F401" s="26" t="s">
        <v>243</v>
      </c>
      <c r="G401" s="28">
        <v>42.504</v>
      </c>
      <c r="H401" s="29" t="s">
        <v>187</v>
      </c>
    </row>
    <row r="402" spans="1:8">
      <c r="A402" s="20">
        <v>10640</v>
      </c>
      <c r="B402" s="21" t="s">
        <v>161</v>
      </c>
      <c r="C402" s="21" t="s">
        <v>472</v>
      </c>
      <c r="D402" s="22">
        <v>35663</v>
      </c>
      <c r="E402" s="22">
        <v>35670</v>
      </c>
      <c r="F402" s="21" t="s">
        <v>249</v>
      </c>
      <c r="G402" s="23">
        <v>25.905</v>
      </c>
      <c r="H402" s="24" t="s">
        <v>150</v>
      </c>
    </row>
    <row r="403" spans="1:8">
      <c r="A403" s="25">
        <v>10641</v>
      </c>
      <c r="B403" s="26" t="s">
        <v>209</v>
      </c>
      <c r="C403" s="26" t="s">
        <v>472</v>
      </c>
      <c r="D403" s="27">
        <v>35664</v>
      </c>
      <c r="E403" s="27">
        <v>35668</v>
      </c>
      <c r="F403" s="26" t="s">
        <v>136</v>
      </c>
      <c r="G403" s="28">
        <v>197.571</v>
      </c>
      <c r="H403" s="29" t="s">
        <v>208</v>
      </c>
    </row>
    <row r="404" spans="1:8">
      <c r="A404" s="20">
        <v>10642</v>
      </c>
      <c r="B404" s="21" t="s">
        <v>233</v>
      </c>
      <c r="C404" s="21" t="s">
        <v>478</v>
      </c>
      <c r="D404" s="22">
        <v>35664</v>
      </c>
      <c r="E404" s="22">
        <v>35678</v>
      </c>
      <c r="F404" s="21" t="s">
        <v>243</v>
      </c>
      <c r="G404" s="23">
        <v>46.079</v>
      </c>
      <c r="H404" s="24" t="s">
        <v>222</v>
      </c>
    </row>
    <row r="405" spans="1:8">
      <c r="A405" s="25">
        <v>10643</v>
      </c>
      <c r="B405" s="26" t="s">
        <v>230</v>
      </c>
      <c r="C405" s="26" t="s">
        <v>471</v>
      </c>
      <c r="D405" s="27">
        <v>35667</v>
      </c>
      <c r="E405" s="27">
        <v>35675</v>
      </c>
      <c r="F405" s="26" t="s">
        <v>249</v>
      </c>
      <c r="G405" s="28">
        <v>32.406</v>
      </c>
      <c r="H405" s="29" t="s">
        <v>150</v>
      </c>
    </row>
    <row r="406" spans="1:8">
      <c r="A406" s="20">
        <v>10644</v>
      </c>
      <c r="B406" s="21" t="s">
        <v>142</v>
      </c>
      <c r="C406" s="21" t="s">
        <v>473</v>
      </c>
      <c r="D406" s="22">
        <v>35667</v>
      </c>
      <c r="E406" s="22">
        <v>35674</v>
      </c>
      <c r="F406" s="21" t="s">
        <v>136</v>
      </c>
      <c r="G406" s="23">
        <v>0.154</v>
      </c>
      <c r="H406" s="24" t="s">
        <v>137</v>
      </c>
    </row>
    <row r="407" spans="1:8">
      <c r="A407" s="25">
        <v>10645</v>
      </c>
      <c r="B407" s="26" t="s">
        <v>135</v>
      </c>
      <c r="C407" s="26" t="s">
        <v>472</v>
      </c>
      <c r="D407" s="27">
        <v>35668</v>
      </c>
      <c r="E407" s="27">
        <v>35675</v>
      </c>
      <c r="F407" s="26" t="s">
        <v>249</v>
      </c>
      <c r="G407" s="28">
        <v>13.651</v>
      </c>
      <c r="H407" s="29" t="s">
        <v>137</v>
      </c>
    </row>
    <row r="408" spans="1:8">
      <c r="A408" s="20">
        <v>10646</v>
      </c>
      <c r="B408" s="21" t="s">
        <v>156</v>
      </c>
      <c r="C408" s="21" t="s">
        <v>474</v>
      </c>
      <c r="D408" s="22">
        <v>35669</v>
      </c>
      <c r="E408" s="22">
        <v>35676</v>
      </c>
      <c r="F408" s="21" t="s">
        <v>243</v>
      </c>
      <c r="G408" s="23">
        <v>156.563</v>
      </c>
      <c r="H408" s="24" t="s">
        <v>157</v>
      </c>
    </row>
    <row r="409" spans="1:8">
      <c r="A409" s="25">
        <v>10647</v>
      </c>
      <c r="B409" s="26" t="s">
        <v>143</v>
      </c>
      <c r="C409" s="26" t="s">
        <v>472</v>
      </c>
      <c r="D409" s="27">
        <v>35669</v>
      </c>
      <c r="E409" s="27">
        <v>35676</v>
      </c>
      <c r="F409" s="26" t="s">
        <v>136</v>
      </c>
      <c r="G409" s="28">
        <v>50.094</v>
      </c>
      <c r="H409" s="29" t="s">
        <v>137</v>
      </c>
    </row>
    <row r="410" spans="1:8">
      <c r="A410" s="20">
        <v>10648</v>
      </c>
      <c r="B410" s="21" t="s">
        <v>158</v>
      </c>
      <c r="C410" s="21" t="s">
        <v>470</v>
      </c>
      <c r="D410" s="22">
        <v>35670</v>
      </c>
      <c r="E410" s="22">
        <v>35682</v>
      </c>
      <c r="F410" s="21" t="s">
        <v>136</v>
      </c>
      <c r="G410" s="23">
        <v>15.675</v>
      </c>
      <c r="H410" s="24" t="s">
        <v>137</v>
      </c>
    </row>
    <row r="411" spans="1:8">
      <c r="A411" s="25">
        <v>10649</v>
      </c>
      <c r="B411" s="26" t="s">
        <v>216</v>
      </c>
      <c r="C411" s="26" t="s">
        <v>470</v>
      </c>
      <c r="D411" s="27">
        <v>35670</v>
      </c>
      <c r="E411" s="27">
        <v>35671</v>
      </c>
      <c r="F411" s="26" t="s">
        <v>243</v>
      </c>
      <c r="G411" s="28">
        <v>6.82</v>
      </c>
      <c r="H411" s="29" t="s">
        <v>139</v>
      </c>
    </row>
    <row r="412" spans="1:8">
      <c r="A412" s="20">
        <v>10650</v>
      </c>
      <c r="B412" s="21" t="s">
        <v>212</v>
      </c>
      <c r="C412" s="21" t="s">
        <v>470</v>
      </c>
      <c r="D412" s="22">
        <v>35671</v>
      </c>
      <c r="E412" s="22">
        <v>35676</v>
      </c>
      <c r="F412" s="21" t="s">
        <v>243</v>
      </c>
      <c r="G412" s="23">
        <v>194.491</v>
      </c>
      <c r="H412" s="24" t="s">
        <v>137</v>
      </c>
    </row>
    <row r="413" spans="1:8">
      <c r="A413" s="25">
        <v>10651</v>
      </c>
      <c r="B413" s="26" t="s">
        <v>161</v>
      </c>
      <c r="C413" s="26" t="s">
        <v>476</v>
      </c>
      <c r="D413" s="27">
        <v>35674</v>
      </c>
      <c r="E413" s="27">
        <v>35684</v>
      </c>
      <c r="F413" s="26" t="s">
        <v>136</v>
      </c>
      <c r="G413" s="28">
        <v>22.66</v>
      </c>
      <c r="H413" s="29" t="s">
        <v>150</v>
      </c>
    </row>
    <row r="414" spans="1:8">
      <c r="A414" s="20">
        <v>10652</v>
      </c>
      <c r="B414" s="21" t="s">
        <v>228</v>
      </c>
      <c r="C414" s="21" t="s">
        <v>472</v>
      </c>
      <c r="D414" s="22">
        <v>35674</v>
      </c>
      <c r="E414" s="22">
        <v>35681</v>
      </c>
      <c r="F414" s="21" t="s">
        <v>136</v>
      </c>
      <c r="G414" s="23">
        <v>7.854</v>
      </c>
      <c r="H414" s="24" t="s">
        <v>137</v>
      </c>
    </row>
    <row r="415" spans="1:8">
      <c r="A415" s="25">
        <v>10653</v>
      </c>
      <c r="B415" s="26" t="s">
        <v>176</v>
      </c>
      <c r="C415" s="26" t="s">
        <v>475</v>
      </c>
      <c r="D415" s="27">
        <v>35675</v>
      </c>
      <c r="E415" s="27">
        <v>35692</v>
      </c>
      <c r="F415" s="26" t="s">
        <v>249</v>
      </c>
      <c r="G415" s="28">
        <v>102.575</v>
      </c>
      <c r="H415" s="29" t="s">
        <v>150</v>
      </c>
    </row>
    <row r="416" spans="1:8">
      <c r="A416" s="20">
        <v>10654</v>
      </c>
      <c r="B416" s="21" t="s">
        <v>147</v>
      </c>
      <c r="C416" s="21" t="s">
        <v>470</v>
      </c>
      <c r="D416" s="22">
        <v>35675</v>
      </c>
      <c r="E416" s="22">
        <v>35684</v>
      </c>
      <c r="F416" s="21" t="s">
        <v>249</v>
      </c>
      <c r="G416" s="23">
        <v>60.786</v>
      </c>
      <c r="H416" s="24" t="s">
        <v>148</v>
      </c>
    </row>
    <row r="417" spans="1:8">
      <c r="A417" s="25">
        <v>10655</v>
      </c>
      <c r="B417" s="26" t="s">
        <v>229</v>
      </c>
      <c r="C417" s="26" t="s">
        <v>475</v>
      </c>
      <c r="D417" s="27">
        <v>35676</v>
      </c>
      <c r="E417" s="27">
        <v>35684</v>
      </c>
      <c r="F417" s="26" t="s">
        <v>136</v>
      </c>
      <c r="G417" s="28">
        <v>4.851</v>
      </c>
      <c r="H417" s="29" t="s">
        <v>160</v>
      </c>
    </row>
    <row r="418" spans="1:8">
      <c r="A418" s="20">
        <v>10656</v>
      </c>
      <c r="B418" s="21" t="s">
        <v>215</v>
      </c>
      <c r="C418" s="21" t="s">
        <v>471</v>
      </c>
      <c r="D418" s="22">
        <v>35677</v>
      </c>
      <c r="E418" s="22">
        <v>35683</v>
      </c>
      <c r="F418" s="21" t="s">
        <v>249</v>
      </c>
      <c r="G418" s="23">
        <v>62.865</v>
      </c>
      <c r="H418" s="24" t="s">
        <v>145</v>
      </c>
    </row>
    <row r="419" spans="1:8">
      <c r="A419" s="25">
        <v>10657</v>
      </c>
      <c r="B419" s="26" t="s">
        <v>197</v>
      </c>
      <c r="C419" s="26" t="s">
        <v>477</v>
      </c>
      <c r="D419" s="27">
        <v>35677</v>
      </c>
      <c r="E419" s="27">
        <v>35688</v>
      </c>
      <c r="F419" s="26" t="s">
        <v>136</v>
      </c>
      <c r="G419" s="28">
        <v>387.959</v>
      </c>
      <c r="H419" s="29" t="s">
        <v>145</v>
      </c>
    </row>
    <row r="420" spans="1:8">
      <c r="A420" s="20">
        <v>10658</v>
      </c>
      <c r="B420" s="21" t="s">
        <v>151</v>
      </c>
      <c r="C420" s="21" t="s">
        <v>472</v>
      </c>
      <c r="D420" s="22">
        <v>35678</v>
      </c>
      <c r="E420" s="22">
        <v>35681</v>
      </c>
      <c r="F420" s="21" t="s">
        <v>249</v>
      </c>
      <c r="G420" s="23">
        <v>400.565</v>
      </c>
      <c r="H420" s="24" t="s">
        <v>150</v>
      </c>
    </row>
    <row r="421" spans="1:8">
      <c r="A421" s="25">
        <v>10659</v>
      </c>
      <c r="B421" s="26" t="s">
        <v>184</v>
      </c>
      <c r="C421" s="26" t="s">
        <v>478</v>
      </c>
      <c r="D421" s="27">
        <v>35678</v>
      </c>
      <c r="E421" s="27">
        <v>35683</v>
      </c>
      <c r="F421" s="26" t="s">
        <v>136</v>
      </c>
      <c r="G421" s="28">
        <v>116.391</v>
      </c>
      <c r="H421" s="29" t="s">
        <v>137</v>
      </c>
    </row>
    <row r="422" spans="1:8">
      <c r="A422" s="20">
        <v>10660</v>
      </c>
      <c r="B422" s="21" t="s">
        <v>185</v>
      </c>
      <c r="C422" s="21" t="s">
        <v>476</v>
      </c>
      <c r="D422" s="22">
        <v>35681</v>
      </c>
      <c r="E422" s="22">
        <v>35718</v>
      </c>
      <c r="F422" s="21" t="s">
        <v>249</v>
      </c>
      <c r="G422" s="23">
        <v>122.419</v>
      </c>
      <c r="H422" s="24" t="s">
        <v>145</v>
      </c>
    </row>
    <row r="423" spans="1:8">
      <c r="A423" s="25">
        <v>10661</v>
      </c>
      <c r="B423" s="26" t="s">
        <v>156</v>
      </c>
      <c r="C423" s="26" t="s">
        <v>478</v>
      </c>
      <c r="D423" s="27">
        <v>35682</v>
      </c>
      <c r="E423" s="27">
        <v>35688</v>
      </c>
      <c r="F423" s="26" t="s">
        <v>243</v>
      </c>
      <c r="G423" s="28">
        <v>19.305</v>
      </c>
      <c r="H423" s="29" t="s">
        <v>157</v>
      </c>
    </row>
    <row r="424" spans="1:8">
      <c r="A424" s="20">
        <v>10662</v>
      </c>
      <c r="B424" s="21" t="s">
        <v>166</v>
      </c>
      <c r="C424" s="21" t="s">
        <v>473</v>
      </c>
      <c r="D424" s="22">
        <v>35682</v>
      </c>
      <c r="E424" s="22">
        <v>35691</v>
      </c>
      <c r="F424" s="21" t="s">
        <v>136</v>
      </c>
      <c r="G424" s="23">
        <v>1.408</v>
      </c>
      <c r="H424" s="24" t="s">
        <v>145</v>
      </c>
    </row>
    <row r="425" spans="1:8">
      <c r="A425" s="25">
        <v>10663</v>
      </c>
      <c r="B425" s="26" t="s">
        <v>204</v>
      </c>
      <c r="C425" s="26" t="s">
        <v>477</v>
      </c>
      <c r="D425" s="27">
        <v>35683</v>
      </c>
      <c r="E425" s="27">
        <v>35706</v>
      </c>
      <c r="F425" s="26" t="s">
        <v>136</v>
      </c>
      <c r="G425" s="28">
        <v>124.465</v>
      </c>
      <c r="H425" s="29" t="s">
        <v>154</v>
      </c>
    </row>
    <row r="426" spans="1:8">
      <c r="A426" s="20">
        <v>10664</v>
      </c>
      <c r="B426" s="21" t="s">
        <v>203</v>
      </c>
      <c r="C426" s="21" t="s">
        <v>475</v>
      </c>
      <c r="D426" s="22">
        <v>35683</v>
      </c>
      <c r="E426" s="22">
        <v>35692</v>
      </c>
      <c r="F426" s="21" t="s">
        <v>243</v>
      </c>
      <c r="G426" s="23">
        <v>1.397</v>
      </c>
      <c r="H426" s="24" t="s">
        <v>175</v>
      </c>
    </row>
    <row r="427" spans="1:8">
      <c r="A427" s="25">
        <v>10665</v>
      </c>
      <c r="B427" s="26" t="s">
        <v>166</v>
      </c>
      <c r="C427" s="26" t="s">
        <v>475</v>
      </c>
      <c r="D427" s="27">
        <v>35684</v>
      </c>
      <c r="E427" s="27">
        <v>35690</v>
      </c>
      <c r="F427" s="26" t="s">
        <v>136</v>
      </c>
      <c r="G427" s="28">
        <v>28.941</v>
      </c>
      <c r="H427" s="29" t="s">
        <v>145</v>
      </c>
    </row>
    <row r="428" spans="1:8">
      <c r="A428" s="20">
        <v>10666</v>
      </c>
      <c r="B428" s="21" t="s">
        <v>192</v>
      </c>
      <c r="C428" s="21" t="s">
        <v>478</v>
      </c>
      <c r="D428" s="22">
        <v>35685</v>
      </c>
      <c r="E428" s="22">
        <v>35695</v>
      </c>
      <c r="F428" s="21" t="s">
        <v>136</v>
      </c>
      <c r="G428" s="23">
        <v>255.662</v>
      </c>
      <c r="H428" s="24" t="s">
        <v>141</v>
      </c>
    </row>
    <row r="429" spans="1:8">
      <c r="A429" s="25">
        <v>10667</v>
      </c>
      <c r="B429" s="26" t="s">
        <v>182</v>
      </c>
      <c r="C429" s="26" t="s">
        <v>478</v>
      </c>
      <c r="D429" s="27">
        <v>35685</v>
      </c>
      <c r="E429" s="27">
        <v>35692</v>
      </c>
      <c r="F429" s="26" t="s">
        <v>249</v>
      </c>
      <c r="G429" s="28">
        <v>85.899</v>
      </c>
      <c r="H429" s="29" t="s">
        <v>183</v>
      </c>
    </row>
    <row r="430" spans="1:8">
      <c r="A430" s="20">
        <v>10668</v>
      </c>
      <c r="B430" s="21" t="s">
        <v>161</v>
      </c>
      <c r="C430" s="21" t="s">
        <v>475</v>
      </c>
      <c r="D430" s="22">
        <v>35688</v>
      </c>
      <c r="E430" s="22">
        <v>35696</v>
      </c>
      <c r="F430" s="21" t="s">
        <v>136</v>
      </c>
      <c r="G430" s="23">
        <v>51.942</v>
      </c>
      <c r="H430" s="24" t="s">
        <v>150</v>
      </c>
    </row>
    <row r="431" spans="1:8">
      <c r="A431" s="25">
        <v>10669</v>
      </c>
      <c r="B431" s="26" t="s">
        <v>233</v>
      </c>
      <c r="C431" s="26" t="s">
        <v>477</v>
      </c>
      <c r="D431" s="27">
        <v>35688</v>
      </c>
      <c r="E431" s="27">
        <v>35695</v>
      </c>
      <c r="F431" s="26" t="s">
        <v>249</v>
      </c>
      <c r="G431" s="28">
        <v>26.829</v>
      </c>
      <c r="H431" s="29" t="s">
        <v>222</v>
      </c>
    </row>
    <row r="432" spans="1:8">
      <c r="A432" s="20">
        <v>10670</v>
      </c>
      <c r="B432" s="21" t="s">
        <v>176</v>
      </c>
      <c r="C432" s="21" t="s">
        <v>472</v>
      </c>
      <c r="D432" s="22">
        <v>35689</v>
      </c>
      <c r="E432" s="22">
        <v>35691</v>
      </c>
      <c r="F432" s="21" t="s">
        <v>249</v>
      </c>
      <c r="G432" s="23">
        <v>223.828</v>
      </c>
      <c r="H432" s="24" t="s">
        <v>150</v>
      </c>
    </row>
    <row r="433" spans="1:8">
      <c r="A433" s="25">
        <v>10671</v>
      </c>
      <c r="B433" s="26" t="s">
        <v>238</v>
      </c>
      <c r="C433" s="26" t="s">
        <v>475</v>
      </c>
      <c r="D433" s="27">
        <v>35690</v>
      </c>
      <c r="E433" s="27">
        <v>35697</v>
      </c>
      <c r="F433" s="26" t="s">
        <v>249</v>
      </c>
      <c r="G433" s="28">
        <v>33.374</v>
      </c>
      <c r="H433" s="29" t="s">
        <v>154</v>
      </c>
    </row>
    <row r="434" spans="1:8">
      <c r="A434" s="20">
        <v>10672</v>
      </c>
      <c r="B434" s="21" t="s">
        <v>147</v>
      </c>
      <c r="C434" s="21" t="s">
        <v>474</v>
      </c>
      <c r="D434" s="22">
        <v>35690</v>
      </c>
      <c r="E434" s="22">
        <v>35699</v>
      </c>
      <c r="F434" s="21" t="s">
        <v>136</v>
      </c>
      <c r="G434" s="23">
        <v>105.325</v>
      </c>
      <c r="H434" s="24" t="s">
        <v>148</v>
      </c>
    </row>
    <row r="435" spans="1:8">
      <c r="A435" s="25">
        <v>10673</v>
      </c>
      <c r="B435" s="26" t="s">
        <v>242</v>
      </c>
      <c r="C435" s="26" t="s">
        <v>477</v>
      </c>
      <c r="D435" s="27">
        <v>35691</v>
      </c>
      <c r="E435" s="27">
        <v>35692</v>
      </c>
      <c r="F435" s="26" t="s">
        <v>249</v>
      </c>
      <c r="G435" s="28">
        <v>25.036</v>
      </c>
      <c r="H435" s="29" t="s">
        <v>191</v>
      </c>
    </row>
    <row r="436" spans="1:8">
      <c r="A436" s="20">
        <v>10674</v>
      </c>
      <c r="B436" s="21" t="s">
        <v>168</v>
      </c>
      <c r="C436" s="21" t="s">
        <v>472</v>
      </c>
      <c r="D436" s="22">
        <v>35691</v>
      </c>
      <c r="E436" s="22">
        <v>35703</v>
      </c>
      <c r="F436" s="21" t="s">
        <v>136</v>
      </c>
      <c r="G436" s="23">
        <v>0.99</v>
      </c>
      <c r="H436" s="24" t="s">
        <v>169</v>
      </c>
    </row>
    <row r="437" spans="1:8">
      <c r="A437" s="25">
        <v>10675</v>
      </c>
      <c r="B437" s="26" t="s">
        <v>176</v>
      </c>
      <c r="C437" s="26" t="s">
        <v>470</v>
      </c>
      <c r="D437" s="27">
        <v>35692</v>
      </c>
      <c r="E437" s="27">
        <v>35696</v>
      </c>
      <c r="F437" s="26" t="s">
        <v>136</v>
      </c>
      <c r="G437" s="28">
        <v>35.035</v>
      </c>
      <c r="H437" s="29" t="s">
        <v>150</v>
      </c>
    </row>
    <row r="438" spans="1:8">
      <c r="A438" s="20">
        <v>10676</v>
      </c>
      <c r="B438" s="21" t="s">
        <v>164</v>
      </c>
      <c r="C438" s="21" t="s">
        <v>477</v>
      </c>
      <c r="D438" s="22">
        <v>35695</v>
      </c>
      <c r="E438" s="22">
        <v>35702</v>
      </c>
      <c r="F438" s="21" t="s">
        <v>136</v>
      </c>
      <c r="G438" s="23">
        <v>2.211</v>
      </c>
      <c r="H438" s="24" t="s">
        <v>165</v>
      </c>
    </row>
    <row r="439" spans="1:8">
      <c r="A439" s="25">
        <v>10677</v>
      </c>
      <c r="B439" s="26" t="s">
        <v>179</v>
      </c>
      <c r="C439" s="26" t="s">
        <v>475</v>
      </c>
      <c r="D439" s="27">
        <v>35695</v>
      </c>
      <c r="E439" s="27">
        <v>35699</v>
      </c>
      <c r="F439" s="26" t="s">
        <v>243</v>
      </c>
      <c r="G439" s="28">
        <v>4.433</v>
      </c>
      <c r="H439" s="29" t="s">
        <v>165</v>
      </c>
    </row>
    <row r="440" spans="1:8">
      <c r="A440" s="20">
        <v>10678</v>
      </c>
      <c r="B440" s="21" t="s">
        <v>197</v>
      </c>
      <c r="C440" s="21" t="s">
        <v>478</v>
      </c>
      <c r="D440" s="22">
        <v>35696</v>
      </c>
      <c r="E440" s="22">
        <v>35719</v>
      </c>
      <c r="F440" s="21" t="s">
        <v>243</v>
      </c>
      <c r="G440" s="23">
        <v>427.878</v>
      </c>
      <c r="H440" s="24" t="s">
        <v>145</v>
      </c>
    </row>
    <row r="441" spans="1:8">
      <c r="A441" s="25">
        <v>10679</v>
      </c>
      <c r="B441" s="26" t="s">
        <v>155</v>
      </c>
      <c r="C441" s="26" t="s">
        <v>476</v>
      </c>
      <c r="D441" s="27">
        <v>35696</v>
      </c>
      <c r="E441" s="27">
        <v>35703</v>
      </c>
      <c r="F441" s="26" t="s">
        <v>243</v>
      </c>
      <c r="G441" s="28">
        <v>30.734</v>
      </c>
      <c r="H441" s="29" t="s">
        <v>154</v>
      </c>
    </row>
    <row r="442" spans="1:8">
      <c r="A442" s="20">
        <v>10680</v>
      </c>
      <c r="B442" s="21" t="s">
        <v>198</v>
      </c>
      <c r="C442" s="21" t="s">
        <v>475</v>
      </c>
      <c r="D442" s="22">
        <v>35697</v>
      </c>
      <c r="E442" s="22">
        <v>35699</v>
      </c>
      <c r="F442" s="21" t="s">
        <v>249</v>
      </c>
      <c r="G442" s="23">
        <v>29.271</v>
      </c>
      <c r="H442" s="24" t="s">
        <v>145</v>
      </c>
    </row>
    <row r="443" spans="1:8">
      <c r="A443" s="25">
        <v>10681</v>
      </c>
      <c r="B443" s="26" t="s">
        <v>215</v>
      </c>
      <c r="C443" s="26" t="s">
        <v>473</v>
      </c>
      <c r="D443" s="27">
        <v>35698</v>
      </c>
      <c r="E443" s="27">
        <v>35703</v>
      </c>
      <c r="F443" s="26" t="s">
        <v>243</v>
      </c>
      <c r="G443" s="28">
        <v>83.743</v>
      </c>
      <c r="H443" s="29" t="s">
        <v>145</v>
      </c>
    </row>
    <row r="444" spans="1:8">
      <c r="A444" s="20">
        <v>10682</v>
      </c>
      <c r="B444" s="21" t="s">
        <v>179</v>
      </c>
      <c r="C444" s="21" t="s">
        <v>473</v>
      </c>
      <c r="D444" s="22">
        <v>35698</v>
      </c>
      <c r="E444" s="22">
        <v>35704</v>
      </c>
      <c r="F444" s="21" t="s">
        <v>136</v>
      </c>
      <c r="G444" s="23">
        <v>39.743</v>
      </c>
      <c r="H444" s="24" t="s">
        <v>165</v>
      </c>
    </row>
    <row r="445" spans="1:8">
      <c r="A445" s="25">
        <v>10683</v>
      </c>
      <c r="B445" s="26" t="s">
        <v>223</v>
      </c>
      <c r="C445" s="26" t="s">
        <v>477</v>
      </c>
      <c r="D445" s="27">
        <v>35699</v>
      </c>
      <c r="E445" s="27">
        <v>35704</v>
      </c>
      <c r="F445" s="26" t="s">
        <v>249</v>
      </c>
      <c r="G445" s="28">
        <v>4.84</v>
      </c>
      <c r="H445" s="29" t="s">
        <v>154</v>
      </c>
    </row>
    <row r="446" spans="1:8">
      <c r="A446" s="20">
        <v>10684</v>
      </c>
      <c r="B446" s="21" t="s">
        <v>189</v>
      </c>
      <c r="C446" s="21" t="s">
        <v>473</v>
      </c>
      <c r="D446" s="22">
        <v>35699</v>
      </c>
      <c r="E446" s="22">
        <v>35703</v>
      </c>
      <c r="F446" s="21" t="s">
        <v>249</v>
      </c>
      <c r="G446" s="23">
        <v>160.193</v>
      </c>
      <c r="H446" s="24" t="s">
        <v>150</v>
      </c>
    </row>
    <row r="447" spans="1:8">
      <c r="A447" s="25">
        <v>10685</v>
      </c>
      <c r="B447" s="26" t="s">
        <v>228</v>
      </c>
      <c r="C447" s="26" t="s">
        <v>472</v>
      </c>
      <c r="D447" s="27">
        <v>35702</v>
      </c>
      <c r="E447" s="27">
        <v>35706</v>
      </c>
      <c r="F447" s="26" t="s">
        <v>136</v>
      </c>
      <c r="G447" s="28">
        <v>37.125</v>
      </c>
      <c r="H447" s="29" t="s">
        <v>137</v>
      </c>
    </row>
    <row r="448" spans="1:8">
      <c r="A448" s="20">
        <v>10686</v>
      </c>
      <c r="B448" s="21" t="s">
        <v>193</v>
      </c>
      <c r="C448" s="21" t="s">
        <v>477</v>
      </c>
      <c r="D448" s="22">
        <v>35703</v>
      </c>
      <c r="E448" s="22">
        <v>35711</v>
      </c>
      <c r="F448" s="21" t="s">
        <v>249</v>
      </c>
      <c r="G448" s="23">
        <v>106.15</v>
      </c>
      <c r="H448" s="24" t="s">
        <v>183</v>
      </c>
    </row>
    <row r="449" spans="1:8">
      <c r="A449" s="25">
        <v>10687</v>
      </c>
      <c r="B449" s="26" t="s">
        <v>156</v>
      </c>
      <c r="C449" s="26" t="s">
        <v>474</v>
      </c>
      <c r="D449" s="27">
        <v>35703</v>
      </c>
      <c r="E449" s="27">
        <v>35733</v>
      </c>
      <c r="F449" s="26" t="s">
        <v>136</v>
      </c>
      <c r="G449" s="28">
        <v>326.073</v>
      </c>
      <c r="H449" s="29" t="s">
        <v>157</v>
      </c>
    </row>
    <row r="450" spans="1:8">
      <c r="A450" s="20">
        <v>10688</v>
      </c>
      <c r="B450" s="21" t="s">
        <v>221</v>
      </c>
      <c r="C450" s="21" t="s">
        <v>472</v>
      </c>
      <c r="D450" s="22">
        <v>35704</v>
      </c>
      <c r="E450" s="22">
        <v>35710</v>
      </c>
      <c r="F450" s="21" t="s">
        <v>136</v>
      </c>
      <c r="G450" s="23">
        <v>328.999</v>
      </c>
      <c r="H450" s="24" t="s">
        <v>222</v>
      </c>
    </row>
    <row r="451" spans="1:8">
      <c r="A451" s="25">
        <v>10689</v>
      </c>
      <c r="B451" s="26" t="s">
        <v>147</v>
      </c>
      <c r="C451" s="26" t="s">
        <v>475</v>
      </c>
      <c r="D451" s="27">
        <v>35704</v>
      </c>
      <c r="E451" s="27">
        <v>35710</v>
      </c>
      <c r="F451" s="26" t="s">
        <v>136</v>
      </c>
      <c r="G451" s="28">
        <v>14.762</v>
      </c>
      <c r="H451" s="29" t="s">
        <v>148</v>
      </c>
    </row>
    <row r="452" spans="1:8">
      <c r="A452" s="20">
        <v>10690</v>
      </c>
      <c r="B452" s="21" t="s">
        <v>135</v>
      </c>
      <c r="C452" s="21" t="s">
        <v>475</v>
      </c>
      <c r="D452" s="22">
        <v>35705</v>
      </c>
      <c r="E452" s="22">
        <v>35706</v>
      </c>
      <c r="F452" s="21" t="s">
        <v>249</v>
      </c>
      <c r="G452" s="23">
        <v>17.38</v>
      </c>
      <c r="H452" s="24" t="s">
        <v>137</v>
      </c>
    </row>
    <row r="453" spans="1:8">
      <c r="A453" s="25">
        <v>10691</v>
      </c>
      <c r="B453" s="26" t="s">
        <v>151</v>
      </c>
      <c r="C453" s="26" t="s">
        <v>477</v>
      </c>
      <c r="D453" s="27">
        <v>35706</v>
      </c>
      <c r="E453" s="27">
        <v>35725</v>
      </c>
      <c r="F453" s="26" t="s">
        <v>136</v>
      </c>
      <c r="G453" s="28">
        <v>891.055</v>
      </c>
      <c r="H453" s="29" t="s">
        <v>150</v>
      </c>
    </row>
    <row r="454" spans="1:8">
      <c r="A454" s="20">
        <v>10692</v>
      </c>
      <c r="B454" s="21" t="s">
        <v>230</v>
      </c>
      <c r="C454" s="21" t="s">
        <v>472</v>
      </c>
      <c r="D454" s="22">
        <v>35706</v>
      </c>
      <c r="E454" s="22">
        <v>35716</v>
      </c>
      <c r="F454" s="21" t="s">
        <v>136</v>
      </c>
      <c r="G454" s="23">
        <v>67.122</v>
      </c>
      <c r="H454" s="24" t="s">
        <v>150</v>
      </c>
    </row>
    <row r="455" spans="1:8">
      <c r="A455" s="25">
        <v>10693</v>
      </c>
      <c r="B455" s="26" t="s">
        <v>177</v>
      </c>
      <c r="C455" s="26" t="s">
        <v>473</v>
      </c>
      <c r="D455" s="27">
        <v>35709</v>
      </c>
      <c r="E455" s="27">
        <v>35713</v>
      </c>
      <c r="F455" s="26" t="s">
        <v>243</v>
      </c>
      <c r="G455" s="28">
        <v>153.274</v>
      </c>
      <c r="H455" s="29" t="s">
        <v>145</v>
      </c>
    </row>
    <row r="456" spans="1:8">
      <c r="A456" s="20">
        <v>10694</v>
      </c>
      <c r="B456" s="21" t="s">
        <v>151</v>
      </c>
      <c r="C456" s="21" t="s">
        <v>476</v>
      </c>
      <c r="D456" s="22">
        <v>35709</v>
      </c>
      <c r="E456" s="22">
        <v>35712</v>
      </c>
      <c r="F456" s="21" t="s">
        <v>243</v>
      </c>
      <c r="G456" s="23">
        <v>438.196</v>
      </c>
      <c r="H456" s="24" t="s">
        <v>150</v>
      </c>
    </row>
    <row r="457" spans="1:8">
      <c r="A457" s="25">
        <v>10695</v>
      </c>
      <c r="B457" s="26" t="s">
        <v>242</v>
      </c>
      <c r="C457" s="26" t="s">
        <v>478</v>
      </c>
      <c r="D457" s="27">
        <v>35710</v>
      </c>
      <c r="E457" s="27">
        <v>35717</v>
      </c>
      <c r="F457" s="26" t="s">
        <v>249</v>
      </c>
      <c r="G457" s="28">
        <v>18.392</v>
      </c>
      <c r="H457" s="29" t="s">
        <v>191</v>
      </c>
    </row>
    <row r="458" spans="1:8">
      <c r="A458" s="20">
        <v>10696</v>
      </c>
      <c r="B458" s="21" t="s">
        <v>177</v>
      </c>
      <c r="C458" s="21" t="s">
        <v>476</v>
      </c>
      <c r="D458" s="22">
        <v>35711</v>
      </c>
      <c r="E458" s="22">
        <v>35717</v>
      </c>
      <c r="F458" s="21" t="s">
        <v>243</v>
      </c>
      <c r="G458" s="23">
        <v>112.805</v>
      </c>
      <c r="H458" s="24" t="s">
        <v>145</v>
      </c>
    </row>
    <row r="459" spans="1:8">
      <c r="A459" s="25">
        <v>10697</v>
      </c>
      <c r="B459" s="26" t="s">
        <v>207</v>
      </c>
      <c r="C459" s="26" t="s">
        <v>473</v>
      </c>
      <c r="D459" s="27">
        <v>35711</v>
      </c>
      <c r="E459" s="27">
        <v>35717</v>
      </c>
      <c r="F459" s="26" t="s">
        <v>249</v>
      </c>
      <c r="G459" s="28">
        <v>50.072</v>
      </c>
      <c r="H459" s="29" t="s">
        <v>208</v>
      </c>
    </row>
    <row r="460" spans="1:8">
      <c r="A460" s="20">
        <v>10698</v>
      </c>
      <c r="B460" s="21" t="s">
        <v>182</v>
      </c>
      <c r="C460" s="21" t="s">
        <v>472</v>
      </c>
      <c r="D460" s="22">
        <v>35712</v>
      </c>
      <c r="E460" s="22">
        <v>35720</v>
      </c>
      <c r="F460" s="21" t="s">
        <v>249</v>
      </c>
      <c r="G460" s="23">
        <v>299.717</v>
      </c>
      <c r="H460" s="24" t="s">
        <v>183</v>
      </c>
    </row>
    <row r="461" spans="1:8">
      <c r="A461" s="25">
        <v>10699</v>
      </c>
      <c r="B461" s="26" t="s">
        <v>231</v>
      </c>
      <c r="C461" s="26" t="s">
        <v>473</v>
      </c>
      <c r="D461" s="27">
        <v>35712</v>
      </c>
      <c r="E461" s="27">
        <v>35716</v>
      </c>
      <c r="F461" s="26" t="s">
        <v>243</v>
      </c>
      <c r="G461" s="28">
        <v>0.638</v>
      </c>
      <c r="H461" s="29" t="s">
        <v>150</v>
      </c>
    </row>
    <row r="462" spans="1:8">
      <c r="A462" s="20">
        <v>10700</v>
      </c>
      <c r="B462" s="21" t="s">
        <v>197</v>
      </c>
      <c r="C462" s="21" t="s">
        <v>473</v>
      </c>
      <c r="D462" s="22">
        <v>35713</v>
      </c>
      <c r="E462" s="22">
        <v>35719</v>
      </c>
      <c r="F462" s="21" t="s">
        <v>249</v>
      </c>
      <c r="G462" s="23">
        <v>71.61</v>
      </c>
      <c r="H462" s="24" t="s">
        <v>145</v>
      </c>
    </row>
    <row r="463" spans="1:8">
      <c r="A463" s="25">
        <v>10701</v>
      </c>
      <c r="B463" s="26" t="s">
        <v>156</v>
      </c>
      <c r="C463" s="26" t="s">
        <v>471</v>
      </c>
      <c r="D463" s="27">
        <v>35716</v>
      </c>
      <c r="E463" s="27">
        <v>35718</v>
      </c>
      <c r="F463" s="26" t="s">
        <v>243</v>
      </c>
      <c r="G463" s="28">
        <v>242.341</v>
      </c>
      <c r="H463" s="29" t="s">
        <v>157</v>
      </c>
    </row>
    <row r="464" spans="1:8">
      <c r="A464" s="20">
        <v>10702</v>
      </c>
      <c r="B464" s="21" t="s">
        <v>230</v>
      </c>
      <c r="C464" s="21" t="s">
        <v>472</v>
      </c>
      <c r="D464" s="22">
        <v>35716</v>
      </c>
      <c r="E464" s="22">
        <v>35724</v>
      </c>
      <c r="F464" s="21" t="s">
        <v>249</v>
      </c>
      <c r="G464" s="23">
        <v>26.334</v>
      </c>
      <c r="H464" s="24" t="s">
        <v>150</v>
      </c>
    </row>
    <row r="465" spans="1:8">
      <c r="A465" s="25">
        <v>10703</v>
      </c>
      <c r="B465" s="26" t="s">
        <v>194</v>
      </c>
      <c r="C465" s="26" t="s">
        <v>471</v>
      </c>
      <c r="D465" s="27">
        <v>35717</v>
      </c>
      <c r="E465" s="27">
        <v>35723</v>
      </c>
      <c r="F465" s="26" t="s">
        <v>136</v>
      </c>
      <c r="G465" s="28">
        <v>167.53</v>
      </c>
      <c r="H465" s="29" t="s">
        <v>148</v>
      </c>
    </row>
    <row r="466" spans="1:8">
      <c r="A466" s="20">
        <v>10704</v>
      </c>
      <c r="B466" s="21" t="s">
        <v>184</v>
      </c>
      <c r="C466" s="21" t="s">
        <v>471</v>
      </c>
      <c r="D466" s="22">
        <v>35717</v>
      </c>
      <c r="E466" s="22">
        <v>35741</v>
      </c>
      <c r="F466" s="21" t="s">
        <v>249</v>
      </c>
      <c r="G466" s="23">
        <v>5.258</v>
      </c>
      <c r="H466" s="24" t="s">
        <v>137</v>
      </c>
    </row>
    <row r="467" spans="1:8">
      <c r="A467" s="25">
        <v>10705</v>
      </c>
      <c r="B467" s="26" t="s">
        <v>209</v>
      </c>
      <c r="C467" s="26" t="s">
        <v>474</v>
      </c>
      <c r="D467" s="27">
        <v>35718</v>
      </c>
      <c r="E467" s="27">
        <v>35752</v>
      </c>
      <c r="F467" s="26" t="s">
        <v>136</v>
      </c>
      <c r="G467" s="28">
        <v>3.872</v>
      </c>
      <c r="H467" s="29" t="s">
        <v>208</v>
      </c>
    </row>
    <row r="468" spans="1:8">
      <c r="A468" s="20">
        <v>10706</v>
      </c>
      <c r="B468" s="21" t="s">
        <v>198</v>
      </c>
      <c r="C468" s="21" t="s">
        <v>476</v>
      </c>
      <c r="D468" s="22">
        <v>35719</v>
      </c>
      <c r="E468" s="22">
        <v>35724</v>
      </c>
      <c r="F468" s="21" t="s">
        <v>243</v>
      </c>
      <c r="G468" s="23">
        <v>149.193</v>
      </c>
      <c r="H468" s="24" t="s">
        <v>145</v>
      </c>
    </row>
    <row r="469" spans="1:8">
      <c r="A469" s="25">
        <v>10707</v>
      </c>
      <c r="B469" s="26" t="s">
        <v>201</v>
      </c>
      <c r="C469" s="26" t="s">
        <v>472</v>
      </c>
      <c r="D469" s="27">
        <v>35719</v>
      </c>
      <c r="E469" s="27">
        <v>35726</v>
      </c>
      <c r="F469" s="26" t="s">
        <v>243</v>
      </c>
      <c r="G469" s="28">
        <v>23.914</v>
      </c>
      <c r="H469" s="29" t="s">
        <v>169</v>
      </c>
    </row>
    <row r="470" spans="1:8">
      <c r="A470" s="20">
        <v>10708</v>
      </c>
      <c r="B470" s="21" t="s">
        <v>167</v>
      </c>
      <c r="C470" s="21" t="s">
        <v>471</v>
      </c>
      <c r="D470" s="22">
        <v>35720</v>
      </c>
      <c r="E470" s="22">
        <v>35739</v>
      </c>
      <c r="F470" s="21" t="s">
        <v>136</v>
      </c>
      <c r="G470" s="23">
        <v>3.256</v>
      </c>
      <c r="H470" s="24" t="s">
        <v>145</v>
      </c>
    </row>
    <row r="471" spans="1:8">
      <c r="A471" s="25">
        <v>10709</v>
      </c>
      <c r="B471" s="26" t="s">
        <v>228</v>
      </c>
      <c r="C471" s="26" t="s">
        <v>475</v>
      </c>
      <c r="D471" s="27">
        <v>35720</v>
      </c>
      <c r="E471" s="27">
        <v>35754</v>
      </c>
      <c r="F471" s="26" t="s">
        <v>243</v>
      </c>
      <c r="G471" s="28">
        <v>231.88</v>
      </c>
      <c r="H471" s="29" t="s">
        <v>137</v>
      </c>
    </row>
    <row r="472" spans="1:8">
      <c r="A472" s="20">
        <v>10710</v>
      </c>
      <c r="B472" s="21" t="s">
        <v>241</v>
      </c>
      <c r="C472" s="21" t="s">
        <v>475</v>
      </c>
      <c r="D472" s="22">
        <v>35723</v>
      </c>
      <c r="E472" s="22">
        <v>35726</v>
      </c>
      <c r="F472" s="21" t="s">
        <v>249</v>
      </c>
      <c r="G472" s="23">
        <v>5.478</v>
      </c>
      <c r="H472" s="24" t="s">
        <v>160</v>
      </c>
    </row>
    <row r="473" spans="1:8">
      <c r="A473" s="25">
        <v>10711</v>
      </c>
      <c r="B473" s="26" t="s">
        <v>197</v>
      </c>
      <c r="C473" s="26" t="s">
        <v>470</v>
      </c>
      <c r="D473" s="27">
        <v>35724</v>
      </c>
      <c r="E473" s="27">
        <v>35732</v>
      </c>
      <c r="F473" s="26" t="s">
        <v>136</v>
      </c>
      <c r="G473" s="28">
        <v>57.651</v>
      </c>
      <c r="H473" s="29" t="s">
        <v>145</v>
      </c>
    </row>
    <row r="474" spans="1:8">
      <c r="A474" s="20">
        <v>10712</v>
      </c>
      <c r="B474" s="21" t="s">
        <v>156</v>
      </c>
      <c r="C474" s="21" t="s">
        <v>473</v>
      </c>
      <c r="D474" s="22">
        <v>35724</v>
      </c>
      <c r="E474" s="22">
        <v>35734</v>
      </c>
      <c r="F474" s="21" t="s">
        <v>249</v>
      </c>
      <c r="G474" s="23">
        <v>98.923</v>
      </c>
      <c r="H474" s="24" t="s">
        <v>157</v>
      </c>
    </row>
    <row r="475" spans="1:8">
      <c r="A475" s="25">
        <v>10713</v>
      </c>
      <c r="B475" s="26" t="s">
        <v>197</v>
      </c>
      <c r="C475" s="26" t="s">
        <v>475</v>
      </c>
      <c r="D475" s="27">
        <v>35725</v>
      </c>
      <c r="E475" s="27">
        <v>35727</v>
      </c>
      <c r="F475" s="26" t="s">
        <v>249</v>
      </c>
      <c r="G475" s="28">
        <v>183.755</v>
      </c>
      <c r="H475" s="29" t="s">
        <v>145</v>
      </c>
    </row>
    <row r="476" spans="1:8">
      <c r="A476" s="20">
        <v>10714</v>
      </c>
      <c r="B476" s="21" t="s">
        <v>197</v>
      </c>
      <c r="C476" s="21" t="s">
        <v>470</v>
      </c>
      <c r="D476" s="22">
        <v>35725</v>
      </c>
      <c r="E476" s="22">
        <v>35730</v>
      </c>
      <c r="F476" s="21" t="s">
        <v>243</v>
      </c>
      <c r="G476" s="23">
        <v>26.939</v>
      </c>
      <c r="H476" s="24" t="s">
        <v>145</v>
      </c>
    </row>
    <row r="477" spans="1:8">
      <c r="A477" s="25">
        <v>10715</v>
      </c>
      <c r="B477" s="26" t="s">
        <v>204</v>
      </c>
      <c r="C477" s="26" t="s">
        <v>473</v>
      </c>
      <c r="D477" s="27">
        <v>35726</v>
      </c>
      <c r="E477" s="27">
        <v>35732</v>
      </c>
      <c r="F477" s="26" t="s">
        <v>249</v>
      </c>
      <c r="G477" s="28">
        <v>69.52</v>
      </c>
      <c r="H477" s="29" t="s">
        <v>154</v>
      </c>
    </row>
    <row r="478" spans="1:8">
      <c r="A478" s="20">
        <v>10716</v>
      </c>
      <c r="B478" s="21" t="s">
        <v>199</v>
      </c>
      <c r="C478" s="21" t="s">
        <v>472</v>
      </c>
      <c r="D478" s="22">
        <v>35727</v>
      </c>
      <c r="E478" s="22">
        <v>35730</v>
      </c>
      <c r="F478" s="21" t="s">
        <v>136</v>
      </c>
      <c r="G478" s="23">
        <v>24.827</v>
      </c>
      <c r="H478" s="24" t="s">
        <v>200</v>
      </c>
    </row>
    <row r="479" spans="1:8">
      <c r="A479" s="25">
        <v>10717</v>
      </c>
      <c r="B479" s="26" t="s">
        <v>176</v>
      </c>
      <c r="C479" s="26" t="s">
        <v>475</v>
      </c>
      <c r="D479" s="27">
        <v>35727</v>
      </c>
      <c r="E479" s="27">
        <v>35732</v>
      </c>
      <c r="F479" s="26" t="s">
        <v>136</v>
      </c>
      <c r="G479" s="28">
        <v>65.175</v>
      </c>
      <c r="H479" s="29" t="s">
        <v>150</v>
      </c>
    </row>
    <row r="480" spans="1:8">
      <c r="A480" s="20">
        <v>10718</v>
      </c>
      <c r="B480" s="21" t="s">
        <v>202</v>
      </c>
      <c r="C480" s="21" t="s">
        <v>475</v>
      </c>
      <c r="D480" s="22">
        <v>35730</v>
      </c>
      <c r="E480" s="22">
        <v>35732</v>
      </c>
      <c r="F480" s="21" t="s">
        <v>243</v>
      </c>
      <c r="G480" s="23">
        <v>187.968</v>
      </c>
      <c r="H480" s="24" t="s">
        <v>150</v>
      </c>
    </row>
    <row r="481" spans="1:8">
      <c r="A481" s="25">
        <v>10719</v>
      </c>
      <c r="B481" s="26" t="s">
        <v>219</v>
      </c>
      <c r="C481" s="26" t="s">
        <v>476</v>
      </c>
      <c r="D481" s="27">
        <v>35730</v>
      </c>
      <c r="E481" s="27">
        <v>35739</v>
      </c>
      <c r="F481" s="26" t="s">
        <v>136</v>
      </c>
      <c r="G481" s="28">
        <v>56.584</v>
      </c>
      <c r="H481" s="29" t="s">
        <v>145</v>
      </c>
    </row>
    <row r="482" spans="1:8">
      <c r="A482" s="20">
        <v>10720</v>
      </c>
      <c r="B482" s="21" t="s">
        <v>143</v>
      </c>
      <c r="C482" s="21" t="s">
        <v>476</v>
      </c>
      <c r="D482" s="22">
        <v>35731</v>
      </c>
      <c r="E482" s="22">
        <v>35739</v>
      </c>
      <c r="F482" s="21" t="s">
        <v>136</v>
      </c>
      <c r="G482" s="23">
        <v>10.483</v>
      </c>
      <c r="H482" s="24" t="s">
        <v>137</v>
      </c>
    </row>
    <row r="483" spans="1:8">
      <c r="A483" s="25">
        <v>10721</v>
      </c>
      <c r="B483" s="26" t="s">
        <v>151</v>
      </c>
      <c r="C483" s="26" t="s">
        <v>470</v>
      </c>
      <c r="D483" s="27">
        <v>35732</v>
      </c>
      <c r="E483" s="27">
        <v>35734</v>
      </c>
      <c r="F483" s="26" t="s">
        <v>243</v>
      </c>
      <c r="G483" s="28">
        <v>53.812</v>
      </c>
      <c r="H483" s="29" t="s">
        <v>150</v>
      </c>
    </row>
    <row r="484" spans="1:8">
      <c r="A484" s="20">
        <v>10722</v>
      </c>
      <c r="B484" s="21" t="s">
        <v>197</v>
      </c>
      <c r="C484" s="21" t="s">
        <v>476</v>
      </c>
      <c r="D484" s="22">
        <v>35732</v>
      </c>
      <c r="E484" s="22">
        <v>35738</v>
      </c>
      <c r="F484" s="21" t="s">
        <v>249</v>
      </c>
      <c r="G484" s="23">
        <v>82.038</v>
      </c>
      <c r="H484" s="24" t="s">
        <v>145</v>
      </c>
    </row>
    <row r="485" spans="1:8">
      <c r="A485" s="25">
        <v>10723</v>
      </c>
      <c r="B485" s="26" t="s">
        <v>177</v>
      </c>
      <c r="C485" s="26" t="s">
        <v>473</v>
      </c>
      <c r="D485" s="27">
        <v>35733</v>
      </c>
      <c r="E485" s="27">
        <v>35759</v>
      </c>
      <c r="F485" s="26" t="s">
        <v>249</v>
      </c>
      <c r="G485" s="28">
        <v>23.892</v>
      </c>
      <c r="H485" s="29" t="s">
        <v>145</v>
      </c>
    </row>
    <row r="486" spans="1:8">
      <c r="A486" s="20">
        <v>10724</v>
      </c>
      <c r="B486" s="21" t="s">
        <v>171</v>
      </c>
      <c r="C486" s="21" t="s">
        <v>476</v>
      </c>
      <c r="D486" s="22">
        <v>35733</v>
      </c>
      <c r="E486" s="22">
        <v>35739</v>
      </c>
      <c r="F486" s="21" t="s">
        <v>136</v>
      </c>
      <c r="G486" s="23">
        <v>63.525</v>
      </c>
      <c r="H486" s="24" t="s">
        <v>172</v>
      </c>
    </row>
    <row r="487" spans="1:8">
      <c r="A487" s="25">
        <v>10725</v>
      </c>
      <c r="B487" s="26" t="s">
        <v>212</v>
      </c>
      <c r="C487" s="26" t="s">
        <v>472</v>
      </c>
      <c r="D487" s="27">
        <v>35734</v>
      </c>
      <c r="E487" s="27">
        <v>35739</v>
      </c>
      <c r="F487" s="26" t="s">
        <v>243</v>
      </c>
      <c r="G487" s="28">
        <v>11.913</v>
      </c>
      <c r="H487" s="29" t="s">
        <v>137</v>
      </c>
    </row>
    <row r="488" spans="1:8">
      <c r="A488" s="20">
        <v>10726</v>
      </c>
      <c r="B488" s="21" t="s">
        <v>240</v>
      </c>
      <c r="C488" s="21" t="s">
        <v>472</v>
      </c>
      <c r="D488" s="22">
        <v>35737</v>
      </c>
      <c r="E488" s="22">
        <v>35769</v>
      </c>
      <c r="F488" s="21" t="s">
        <v>249</v>
      </c>
      <c r="G488" s="23">
        <v>18.216</v>
      </c>
      <c r="H488" s="24" t="s">
        <v>169</v>
      </c>
    </row>
    <row r="489" spans="1:8">
      <c r="A489" s="25">
        <v>10727</v>
      </c>
      <c r="B489" s="26" t="s">
        <v>229</v>
      </c>
      <c r="C489" s="26" t="s">
        <v>477</v>
      </c>
      <c r="D489" s="27">
        <v>35737</v>
      </c>
      <c r="E489" s="27">
        <v>35769</v>
      </c>
      <c r="F489" s="26" t="s">
        <v>249</v>
      </c>
      <c r="G489" s="28">
        <v>98.89</v>
      </c>
      <c r="H489" s="29" t="s">
        <v>160</v>
      </c>
    </row>
    <row r="490" spans="1:8">
      <c r="A490" s="20">
        <v>10728</v>
      </c>
      <c r="B490" s="21" t="s">
        <v>184</v>
      </c>
      <c r="C490" s="21" t="s">
        <v>472</v>
      </c>
      <c r="D490" s="22">
        <v>35738</v>
      </c>
      <c r="E490" s="22">
        <v>35745</v>
      </c>
      <c r="F490" s="21" t="s">
        <v>136</v>
      </c>
      <c r="G490" s="23">
        <v>64.163</v>
      </c>
      <c r="H490" s="24" t="s">
        <v>137</v>
      </c>
    </row>
    <row r="491" spans="1:8">
      <c r="A491" s="25">
        <v>10729</v>
      </c>
      <c r="B491" s="26" t="s">
        <v>207</v>
      </c>
      <c r="C491" s="26" t="s">
        <v>476</v>
      </c>
      <c r="D491" s="27">
        <v>35738</v>
      </c>
      <c r="E491" s="27">
        <v>35748</v>
      </c>
      <c r="F491" s="26" t="s">
        <v>243</v>
      </c>
      <c r="G491" s="28">
        <v>155.166</v>
      </c>
      <c r="H491" s="29" t="s">
        <v>208</v>
      </c>
    </row>
    <row r="492" spans="1:8">
      <c r="A492" s="20">
        <v>10730</v>
      </c>
      <c r="B492" s="21" t="s">
        <v>204</v>
      </c>
      <c r="C492" s="21" t="s">
        <v>470</v>
      </c>
      <c r="D492" s="22">
        <v>35739</v>
      </c>
      <c r="E492" s="22">
        <v>35748</v>
      </c>
      <c r="F492" s="21" t="s">
        <v>249</v>
      </c>
      <c r="G492" s="23">
        <v>22.132</v>
      </c>
      <c r="H492" s="24" t="s">
        <v>154</v>
      </c>
    </row>
    <row r="493" spans="1:8">
      <c r="A493" s="25">
        <v>10731</v>
      </c>
      <c r="B493" s="26" t="s">
        <v>140</v>
      </c>
      <c r="C493" s="26" t="s">
        <v>478</v>
      </c>
      <c r="D493" s="27">
        <v>35740</v>
      </c>
      <c r="E493" s="27">
        <v>35748</v>
      </c>
      <c r="F493" s="26" t="s">
        <v>249</v>
      </c>
      <c r="G493" s="28">
        <v>106.315</v>
      </c>
      <c r="H493" s="29" t="s">
        <v>141</v>
      </c>
    </row>
    <row r="494" spans="1:8">
      <c r="A494" s="20">
        <v>10732</v>
      </c>
      <c r="B494" s="21" t="s">
        <v>204</v>
      </c>
      <c r="C494" s="21" t="s">
        <v>473</v>
      </c>
      <c r="D494" s="22">
        <v>35740</v>
      </c>
      <c r="E494" s="22">
        <v>35741</v>
      </c>
      <c r="F494" s="21" t="s">
        <v>249</v>
      </c>
      <c r="G494" s="23">
        <v>18.667</v>
      </c>
      <c r="H494" s="24" t="s">
        <v>154</v>
      </c>
    </row>
    <row r="495" spans="1:8">
      <c r="A495" s="25">
        <v>10733</v>
      </c>
      <c r="B495" s="26" t="s">
        <v>147</v>
      </c>
      <c r="C495" s="26" t="s">
        <v>475</v>
      </c>
      <c r="D495" s="27">
        <v>35741</v>
      </c>
      <c r="E495" s="27">
        <v>35744</v>
      </c>
      <c r="F495" s="26" t="s">
        <v>243</v>
      </c>
      <c r="G495" s="28">
        <v>121.121</v>
      </c>
      <c r="H495" s="29" t="s">
        <v>148</v>
      </c>
    </row>
    <row r="496" spans="1:8">
      <c r="A496" s="20">
        <v>10734</v>
      </c>
      <c r="B496" s="21" t="s">
        <v>228</v>
      </c>
      <c r="C496" s="21" t="s">
        <v>477</v>
      </c>
      <c r="D496" s="22">
        <v>35741</v>
      </c>
      <c r="E496" s="22">
        <v>35746</v>
      </c>
      <c r="F496" s="21" t="s">
        <v>243</v>
      </c>
      <c r="G496" s="23">
        <v>1.793</v>
      </c>
      <c r="H496" s="24" t="s">
        <v>137</v>
      </c>
    </row>
    <row r="497" spans="1:8">
      <c r="A497" s="25">
        <v>10735</v>
      </c>
      <c r="B497" s="26" t="s">
        <v>219</v>
      </c>
      <c r="C497" s="26" t="s">
        <v>471</v>
      </c>
      <c r="D497" s="27">
        <v>35744</v>
      </c>
      <c r="E497" s="27">
        <v>35755</v>
      </c>
      <c r="F497" s="26" t="s">
        <v>136</v>
      </c>
      <c r="G497" s="28">
        <v>50.567</v>
      </c>
      <c r="H497" s="29" t="s">
        <v>145</v>
      </c>
    </row>
    <row r="498" spans="1:8">
      <c r="A498" s="20">
        <v>10736</v>
      </c>
      <c r="B498" s="21" t="s">
        <v>156</v>
      </c>
      <c r="C498" s="21" t="s">
        <v>474</v>
      </c>
      <c r="D498" s="22">
        <v>35745</v>
      </c>
      <c r="E498" s="22">
        <v>35755</v>
      </c>
      <c r="F498" s="21" t="s">
        <v>136</v>
      </c>
      <c r="G498" s="23">
        <v>48.51</v>
      </c>
      <c r="H498" s="24" t="s">
        <v>157</v>
      </c>
    </row>
    <row r="499" spans="1:8">
      <c r="A499" s="25">
        <v>10737</v>
      </c>
      <c r="B499" s="26" t="s">
        <v>153</v>
      </c>
      <c r="C499" s="26" t="s">
        <v>477</v>
      </c>
      <c r="D499" s="27">
        <v>35745</v>
      </c>
      <c r="E499" s="27">
        <v>35752</v>
      </c>
      <c r="F499" s="26" t="s">
        <v>136</v>
      </c>
      <c r="G499" s="28">
        <v>8.569</v>
      </c>
      <c r="H499" s="29" t="s">
        <v>154</v>
      </c>
    </row>
    <row r="500" spans="1:8">
      <c r="A500" s="20">
        <v>10738</v>
      </c>
      <c r="B500" s="21" t="s">
        <v>237</v>
      </c>
      <c r="C500" s="21" t="s">
        <v>477</v>
      </c>
      <c r="D500" s="22">
        <v>35746</v>
      </c>
      <c r="E500" s="22">
        <v>35752</v>
      </c>
      <c r="F500" s="21" t="s">
        <v>249</v>
      </c>
      <c r="G500" s="23">
        <v>3.201</v>
      </c>
      <c r="H500" s="24" t="s">
        <v>154</v>
      </c>
    </row>
    <row r="501" spans="1:8">
      <c r="A501" s="25">
        <v>10739</v>
      </c>
      <c r="B501" s="26" t="s">
        <v>153</v>
      </c>
      <c r="C501" s="26" t="s">
        <v>473</v>
      </c>
      <c r="D501" s="27">
        <v>35746</v>
      </c>
      <c r="E501" s="27">
        <v>35751</v>
      </c>
      <c r="F501" s="26" t="s">
        <v>243</v>
      </c>
      <c r="G501" s="28">
        <v>12.188</v>
      </c>
      <c r="H501" s="29" t="s">
        <v>154</v>
      </c>
    </row>
    <row r="502" spans="1:8">
      <c r="A502" s="20">
        <v>10740</v>
      </c>
      <c r="B502" s="21" t="s">
        <v>177</v>
      </c>
      <c r="C502" s="21" t="s">
        <v>472</v>
      </c>
      <c r="D502" s="22">
        <v>35747</v>
      </c>
      <c r="E502" s="22">
        <v>35759</v>
      </c>
      <c r="F502" s="21" t="s">
        <v>136</v>
      </c>
      <c r="G502" s="23">
        <v>90.068</v>
      </c>
      <c r="H502" s="24" t="s">
        <v>145</v>
      </c>
    </row>
    <row r="503" spans="1:8">
      <c r="A503" s="25">
        <v>10741</v>
      </c>
      <c r="B503" s="26" t="s">
        <v>201</v>
      </c>
      <c r="C503" s="26" t="s">
        <v>472</v>
      </c>
      <c r="D503" s="27">
        <v>35748</v>
      </c>
      <c r="E503" s="27">
        <v>35752</v>
      </c>
      <c r="F503" s="26" t="s">
        <v>243</v>
      </c>
      <c r="G503" s="28">
        <v>12.056</v>
      </c>
      <c r="H503" s="29" t="s">
        <v>169</v>
      </c>
    </row>
    <row r="504" spans="1:8">
      <c r="A504" s="20">
        <v>10742</v>
      </c>
      <c r="B504" s="21" t="s">
        <v>188</v>
      </c>
      <c r="C504" s="21" t="s">
        <v>473</v>
      </c>
      <c r="D504" s="22">
        <v>35748</v>
      </c>
      <c r="E504" s="22">
        <v>35752</v>
      </c>
      <c r="F504" s="21" t="s">
        <v>243</v>
      </c>
      <c r="G504" s="23">
        <v>268.103</v>
      </c>
      <c r="H504" s="24" t="s">
        <v>172</v>
      </c>
    </row>
    <row r="505" spans="1:8">
      <c r="A505" s="25">
        <v>10743</v>
      </c>
      <c r="B505" s="26" t="s">
        <v>201</v>
      </c>
      <c r="C505" s="26" t="s">
        <v>475</v>
      </c>
      <c r="D505" s="27">
        <v>35751</v>
      </c>
      <c r="E505" s="27">
        <v>35755</v>
      </c>
      <c r="F505" s="26" t="s">
        <v>136</v>
      </c>
      <c r="G505" s="28">
        <v>26.092</v>
      </c>
      <c r="H505" s="29" t="s">
        <v>169</v>
      </c>
    </row>
    <row r="506" spans="1:8">
      <c r="A506" s="20">
        <v>10744</v>
      </c>
      <c r="B506" s="21" t="s">
        <v>221</v>
      </c>
      <c r="C506" s="21" t="s">
        <v>471</v>
      </c>
      <c r="D506" s="22">
        <v>35751</v>
      </c>
      <c r="E506" s="22">
        <v>35758</v>
      </c>
      <c r="F506" s="21" t="s">
        <v>249</v>
      </c>
      <c r="G506" s="23">
        <v>76.109</v>
      </c>
      <c r="H506" s="24" t="s">
        <v>222</v>
      </c>
    </row>
    <row r="507" spans="1:8">
      <c r="A507" s="25">
        <v>10745</v>
      </c>
      <c r="B507" s="26" t="s">
        <v>151</v>
      </c>
      <c r="C507" s="26" t="s">
        <v>474</v>
      </c>
      <c r="D507" s="27">
        <v>35752</v>
      </c>
      <c r="E507" s="27">
        <v>35761</v>
      </c>
      <c r="F507" s="26" t="s">
        <v>249</v>
      </c>
      <c r="G507" s="28">
        <v>3.872</v>
      </c>
      <c r="H507" s="29" t="s">
        <v>150</v>
      </c>
    </row>
    <row r="508" spans="1:8">
      <c r="A508" s="20">
        <v>10746</v>
      </c>
      <c r="B508" s="21" t="s">
        <v>140</v>
      </c>
      <c r="C508" s="21" t="s">
        <v>475</v>
      </c>
      <c r="D508" s="22">
        <v>35753</v>
      </c>
      <c r="E508" s="22">
        <v>35755</v>
      </c>
      <c r="F508" s="21" t="s">
        <v>243</v>
      </c>
      <c r="G508" s="23">
        <v>34.573</v>
      </c>
      <c r="H508" s="24" t="s">
        <v>141</v>
      </c>
    </row>
    <row r="509" spans="1:8">
      <c r="A509" s="25">
        <v>10747</v>
      </c>
      <c r="B509" s="26" t="s">
        <v>193</v>
      </c>
      <c r="C509" s="26" t="s">
        <v>471</v>
      </c>
      <c r="D509" s="27">
        <v>35753</v>
      </c>
      <c r="E509" s="27">
        <v>35760</v>
      </c>
      <c r="F509" s="26" t="s">
        <v>249</v>
      </c>
      <c r="G509" s="28">
        <v>129.063</v>
      </c>
      <c r="H509" s="29" t="s">
        <v>183</v>
      </c>
    </row>
    <row r="510" spans="1:8">
      <c r="A510" s="20">
        <v>10748</v>
      </c>
      <c r="B510" s="21" t="s">
        <v>197</v>
      </c>
      <c r="C510" s="21" t="s">
        <v>473</v>
      </c>
      <c r="D510" s="22">
        <v>35754</v>
      </c>
      <c r="E510" s="22">
        <v>35762</v>
      </c>
      <c r="F510" s="21" t="s">
        <v>249</v>
      </c>
      <c r="G510" s="23">
        <v>255.805</v>
      </c>
      <c r="H510" s="24" t="s">
        <v>145</v>
      </c>
    </row>
    <row r="511" spans="1:8">
      <c r="A511" s="25">
        <v>10749</v>
      </c>
      <c r="B511" s="26" t="s">
        <v>168</v>
      </c>
      <c r="C511" s="26" t="s">
        <v>472</v>
      </c>
      <c r="D511" s="27">
        <v>35754</v>
      </c>
      <c r="E511" s="27">
        <v>35783</v>
      </c>
      <c r="F511" s="26" t="s">
        <v>136</v>
      </c>
      <c r="G511" s="28">
        <v>67.683</v>
      </c>
      <c r="H511" s="29" t="s">
        <v>169</v>
      </c>
    </row>
    <row r="512" spans="1:8">
      <c r="A512" s="20">
        <v>10750</v>
      </c>
      <c r="B512" s="21" t="s">
        <v>190</v>
      </c>
      <c r="C512" s="21" t="s">
        <v>474</v>
      </c>
      <c r="D512" s="22">
        <v>35755</v>
      </c>
      <c r="E512" s="22">
        <v>35758</v>
      </c>
      <c r="F512" s="21" t="s">
        <v>249</v>
      </c>
      <c r="G512" s="23">
        <v>87.23</v>
      </c>
      <c r="H512" s="24" t="s">
        <v>191</v>
      </c>
    </row>
    <row r="513" spans="1:8">
      <c r="A513" s="25">
        <v>10751</v>
      </c>
      <c r="B513" s="26" t="s">
        <v>192</v>
      </c>
      <c r="C513" s="26" t="s">
        <v>473</v>
      </c>
      <c r="D513" s="27">
        <v>35758</v>
      </c>
      <c r="E513" s="27">
        <v>35767</v>
      </c>
      <c r="F513" s="26" t="s">
        <v>243</v>
      </c>
      <c r="G513" s="28">
        <v>143.869</v>
      </c>
      <c r="H513" s="29" t="s">
        <v>141</v>
      </c>
    </row>
    <row r="514" spans="1:8">
      <c r="A514" s="20">
        <v>10752</v>
      </c>
      <c r="B514" s="21" t="s">
        <v>248</v>
      </c>
      <c r="C514" s="21" t="s">
        <v>477</v>
      </c>
      <c r="D514" s="22">
        <v>35758</v>
      </c>
      <c r="E514" s="22">
        <v>35762</v>
      </c>
      <c r="F514" s="21" t="s">
        <v>243</v>
      </c>
      <c r="G514" s="23">
        <v>1.529</v>
      </c>
      <c r="H514" s="24" t="s">
        <v>169</v>
      </c>
    </row>
    <row r="515" spans="1:8">
      <c r="A515" s="25">
        <v>10753</v>
      </c>
      <c r="B515" s="26" t="s">
        <v>241</v>
      </c>
      <c r="C515" s="26" t="s">
        <v>473</v>
      </c>
      <c r="D515" s="27">
        <v>35759</v>
      </c>
      <c r="E515" s="27">
        <v>35761</v>
      </c>
      <c r="F515" s="26" t="s">
        <v>249</v>
      </c>
      <c r="G515" s="28">
        <v>8.47</v>
      </c>
      <c r="H515" s="29" t="s">
        <v>160</v>
      </c>
    </row>
    <row r="516" spans="1:8">
      <c r="A516" s="20">
        <v>10754</v>
      </c>
      <c r="B516" s="21" t="s">
        <v>159</v>
      </c>
      <c r="C516" s="21" t="s">
        <v>471</v>
      </c>
      <c r="D516" s="22">
        <v>35759</v>
      </c>
      <c r="E516" s="22">
        <v>35761</v>
      </c>
      <c r="F516" s="21" t="s">
        <v>243</v>
      </c>
      <c r="G516" s="23">
        <v>2.618</v>
      </c>
      <c r="H516" s="24" t="s">
        <v>160</v>
      </c>
    </row>
    <row r="517" spans="1:8">
      <c r="A517" s="25">
        <v>10755</v>
      </c>
      <c r="B517" s="26" t="s">
        <v>204</v>
      </c>
      <c r="C517" s="26" t="s">
        <v>472</v>
      </c>
      <c r="D517" s="27">
        <v>35760</v>
      </c>
      <c r="E517" s="27">
        <v>35762</v>
      </c>
      <c r="F517" s="26" t="s">
        <v>136</v>
      </c>
      <c r="G517" s="28">
        <v>18.381</v>
      </c>
      <c r="H517" s="29" t="s">
        <v>154</v>
      </c>
    </row>
    <row r="518" spans="1:8">
      <c r="A518" s="20">
        <v>10756</v>
      </c>
      <c r="B518" s="21" t="s">
        <v>144</v>
      </c>
      <c r="C518" s="21" t="s">
        <v>476</v>
      </c>
      <c r="D518" s="22">
        <v>35761</v>
      </c>
      <c r="E518" s="22">
        <v>35766</v>
      </c>
      <c r="F518" s="21" t="s">
        <v>136</v>
      </c>
      <c r="G518" s="23">
        <v>80.531</v>
      </c>
      <c r="H518" s="24" t="s">
        <v>145</v>
      </c>
    </row>
    <row r="519" spans="1:8">
      <c r="A519" s="25">
        <v>10757</v>
      </c>
      <c r="B519" s="26" t="s">
        <v>197</v>
      </c>
      <c r="C519" s="26" t="s">
        <v>471</v>
      </c>
      <c r="D519" s="27">
        <v>35761</v>
      </c>
      <c r="E519" s="27">
        <v>35779</v>
      </c>
      <c r="F519" s="26" t="s">
        <v>249</v>
      </c>
      <c r="G519" s="28">
        <v>9.009</v>
      </c>
      <c r="H519" s="29" t="s">
        <v>145</v>
      </c>
    </row>
    <row r="520" spans="1:8">
      <c r="A520" s="20">
        <v>10758</v>
      </c>
      <c r="B520" s="21" t="s">
        <v>192</v>
      </c>
      <c r="C520" s="21" t="s">
        <v>473</v>
      </c>
      <c r="D520" s="22">
        <v>35762</v>
      </c>
      <c r="E520" s="22">
        <v>35768</v>
      </c>
      <c r="F520" s="21" t="s">
        <v>243</v>
      </c>
      <c r="G520" s="23">
        <v>151.987</v>
      </c>
      <c r="H520" s="24" t="s">
        <v>141</v>
      </c>
    </row>
    <row r="521" spans="1:8">
      <c r="A521" s="25">
        <v>10759</v>
      </c>
      <c r="B521" s="26" t="s">
        <v>246</v>
      </c>
      <c r="C521" s="26" t="s">
        <v>473</v>
      </c>
      <c r="D521" s="27">
        <v>35762</v>
      </c>
      <c r="E521" s="27">
        <v>35776</v>
      </c>
      <c r="F521" s="26" t="s">
        <v>243</v>
      </c>
      <c r="G521" s="28">
        <v>13.189</v>
      </c>
      <c r="H521" s="29" t="s">
        <v>165</v>
      </c>
    </row>
    <row r="522" spans="1:8">
      <c r="A522" s="20">
        <v>10760</v>
      </c>
      <c r="B522" s="21" t="s">
        <v>216</v>
      </c>
      <c r="C522" s="21" t="s">
        <v>472</v>
      </c>
      <c r="D522" s="22">
        <v>35765</v>
      </c>
      <c r="E522" s="22">
        <v>35774</v>
      </c>
      <c r="F522" s="21" t="s">
        <v>249</v>
      </c>
      <c r="G522" s="23">
        <v>171.204</v>
      </c>
      <c r="H522" s="24" t="s">
        <v>139</v>
      </c>
    </row>
    <row r="523" spans="1:8">
      <c r="A523" s="25">
        <v>10761</v>
      </c>
      <c r="B523" s="26" t="s">
        <v>146</v>
      </c>
      <c r="C523" s="26" t="s">
        <v>470</v>
      </c>
      <c r="D523" s="27">
        <v>35766</v>
      </c>
      <c r="E523" s="27">
        <v>35772</v>
      </c>
      <c r="F523" s="26" t="s">
        <v>136</v>
      </c>
      <c r="G523" s="28">
        <v>20.526</v>
      </c>
      <c r="H523" s="29" t="s">
        <v>145</v>
      </c>
    </row>
    <row r="524" spans="1:8">
      <c r="A524" s="20">
        <v>10762</v>
      </c>
      <c r="B524" s="21" t="s">
        <v>194</v>
      </c>
      <c r="C524" s="21" t="s">
        <v>473</v>
      </c>
      <c r="D524" s="22">
        <v>35766</v>
      </c>
      <c r="E524" s="22">
        <v>35773</v>
      </c>
      <c r="F524" s="21" t="s">
        <v>249</v>
      </c>
      <c r="G524" s="23">
        <v>361.614</v>
      </c>
      <c r="H524" s="24" t="s">
        <v>148</v>
      </c>
    </row>
    <row r="525" spans="1:8">
      <c r="A525" s="25">
        <v>10763</v>
      </c>
      <c r="B525" s="26" t="s">
        <v>206</v>
      </c>
      <c r="C525" s="26" t="s">
        <v>473</v>
      </c>
      <c r="D525" s="27">
        <v>35767</v>
      </c>
      <c r="E525" s="27">
        <v>35772</v>
      </c>
      <c r="F525" s="26" t="s">
        <v>243</v>
      </c>
      <c r="G525" s="28">
        <v>41.085</v>
      </c>
      <c r="H525" s="29" t="s">
        <v>154</v>
      </c>
    </row>
    <row r="526" spans="1:8">
      <c r="A526" s="20">
        <v>10764</v>
      </c>
      <c r="B526" s="21" t="s">
        <v>182</v>
      </c>
      <c r="C526" s="21" t="s">
        <v>471</v>
      </c>
      <c r="D526" s="22">
        <v>35767</v>
      </c>
      <c r="E526" s="22">
        <v>35772</v>
      </c>
      <c r="F526" s="21" t="s">
        <v>243</v>
      </c>
      <c r="G526" s="23">
        <v>159.995</v>
      </c>
      <c r="H526" s="24" t="s">
        <v>183</v>
      </c>
    </row>
    <row r="527" spans="1:8">
      <c r="A527" s="25">
        <v>10765</v>
      </c>
      <c r="B527" s="26" t="s">
        <v>151</v>
      </c>
      <c r="C527" s="26" t="s">
        <v>473</v>
      </c>
      <c r="D527" s="27">
        <v>35768</v>
      </c>
      <c r="E527" s="27">
        <v>35773</v>
      </c>
      <c r="F527" s="26" t="s">
        <v>243</v>
      </c>
      <c r="G527" s="28">
        <v>47.014</v>
      </c>
      <c r="H527" s="29" t="s">
        <v>150</v>
      </c>
    </row>
    <row r="528" spans="1:8">
      <c r="A528" s="20">
        <v>10766</v>
      </c>
      <c r="B528" s="21" t="s">
        <v>189</v>
      </c>
      <c r="C528" s="21" t="s">
        <v>472</v>
      </c>
      <c r="D528" s="22">
        <v>35769</v>
      </c>
      <c r="E528" s="22">
        <v>35773</v>
      </c>
      <c r="F528" s="21" t="s">
        <v>249</v>
      </c>
      <c r="G528" s="23">
        <v>173.305</v>
      </c>
      <c r="H528" s="24" t="s">
        <v>150</v>
      </c>
    </row>
    <row r="529" spans="1:8">
      <c r="A529" s="25">
        <v>10767</v>
      </c>
      <c r="B529" s="26" t="s">
        <v>138</v>
      </c>
      <c r="C529" s="26" t="s">
        <v>472</v>
      </c>
      <c r="D529" s="27">
        <v>35769</v>
      </c>
      <c r="E529" s="27">
        <v>35779</v>
      </c>
      <c r="F529" s="26" t="s">
        <v>243</v>
      </c>
      <c r="G529" s="28">
        <v>1.749</v>
      </c>
      <c r="H529" s="29" t="s">
        <v>139</v>
      </c>
    </row>
    <row r="530" spans="1:8">
      <c r="A530" s="20">
        <v>10768</v>
      </c>
      <c r="B530" s="21" t="s">
        <v>201</v>
      </c>
      <c r="C530" s="21" t="s">
        <v>473</v>
      </c>
      <c r="D530" s="22">
        <v>35772</v>
      </c>
      <c r="E530" s="22">
        <v>35779</v>
      </c>
      <c r="F530" s="21" t="s">
        <v>136</v>
      </c>
      <c r="G530" s="23">
        <v>160.952</v>
      </c>
      <c r="H530" s="24" t="s">
        <v>169</v>
      </c>
    </row>
    <row r="531" spans="1:8">
      <c r="A531" s="25">
        <v>10769</v>
      </c>
      <c r="B531" s="26" t="s">
        <v>221</v>
      </c>
      <c r="C531" s="26" t="s">
        <v>473</v>
      </c>
      <c r="D531" s="27">
        <v>35772</v>
      </c>
      <c r="E531" s="27">
        <v>35776</v>
      </c>
      <c r="F531" s="26" t="s">
        <v>249</v>
      </c>
      <c r="G531" s="28">
        <v>71.566</v>
      </c>
      <c r="H531" s="29" t="s">
        <v>222</v>
      </c>
    </row>
    <row r="532" spans="1:8">
      <c r="A532" s="20">
        <v>10770</v>
      </c>
      <c r="B532" s="21" t="s">
        <v>135</v>
      </c>
      <c r="C532" s="21" t="s">
        <v>476</v>
      </c>
      <c r="D532" s="22">
        <v>35773</v>
      </c>
      <c r="E532" s="22">
        <v>35781</v>
      </c>
      <c r="F532" s="21" t="s">
        <v>243</v>
      </c>
      <c r="G532" s="23">
        <v>5.852</v>
      </c>
      <c r="H532" s="24" t="s">
        <v>137</v>
      </c>
    </row>
    <row r="533" spans="1:8">
      <c r="A533" s="25">
        <v>10771</v>
      </c>
      <c r="B533" s="26" t="s">
        <v>182</v>
      </c>
      <c r="C533" s="26" t="s">
        <v>474</v>
      </c>
      <c r="D533" s="27">
        <v>35774</v>
      </c>
      <c r="E533" s="27">
        <v>35797</v>
      </c>
      <c r="F533" s="26" t="s">
        <v>136</v>
      </c>
      <c r="G533" s="28">
        <v>12.309</v>
      </c>
      <c r="H533" s="29" t="s">
        <v>183</v>
      </c>
    </row>
    <row r="534" spans="1:8">
      <c r="A534" s="20">
        <v>10772</v>
      </c>
      <c r="B534" s="21" t="s">
        <v>149</v>
      </c>
      <c r="C534" s="21" t="s">
        <v>473</v>
      </c>
      <c r="D534" s="22">
        <v>35774</v>
      </c>
      <c r="E534" s="22">
        <v>35783</v>
      </c>
      <c r="F534" s="21" t="s">
        <v>136</v>
      </c>
      <c r="G534" s="23">
        <v>100.408</v>
      </c>
      <c r="H534" s="24" t="s">
        <v>150</v>
      </c>
    </row>
    <row r="535" spans="1:8">
      <c r="A535" s="25">
        <v>10773</v>
      </c>
      <c r="B535" s="26" t="s">
        <v>182</v>
      </c>
      <c r="C535" s="26" t="s">
        <v>475</v>
      </c>
      <c r="D535" s="27">
        <v>35775</v>
      </c>
      <c r="E535" s="27">
        <v>35780</v>
      </c>
      <c r="F535" s="26" t="s">
        <v>243</v>
      </c>
      <c r="G535" s="28">
        <v>106.073</v>
      </c>
      <c r="H535" s="29" t="s">
        <v>183</v>
      </c>
    </row>
    <row r="536" spans="1:8">
      <c r="A536" s="20">
        <v>10774</v>
      </c>
      <c r="B536" s="21" t="s">
        <v>194</v>
      </c>
      <c r="C536" s="21" t="s">
        <v>472</v>
      </c>
      <c r="D536" s="22">
        <v>35775</v>
      </c>
      <c r="E536" s="22">
        <v>35776</v>
      </c>
      <c r="F536" s="21" t="s">
        <v>249</v>
      </c>
      <c r="G536" s="23">
        <v>53.02</v>
      </c>
      <c r="H536" s="24" t="s">
        <v>148</v>
      </c>
    </row>
    <row r="537" spans="1:8">
      <c r="A537" s="25">
        <v>10775</v>
      </c>
      <c r="B537" s="26" t="s">
        <v>227</v>
      </c>
      <c r="C537" s="26" t="s">
        <v>478</v>
      </c>
      <c r="D537" s="27">
        <v>35776</v>
      </c>
      <c r="E537" s="27">
        <v>35790</v>
      </c>
      <c r="F537" s="26" t="s">
        <v>249</v>
      </c>
      <c r="G537" s="28">
        <v>22.275</v>
      </c>
      <c r="H537" s="29" t="s">
        <v>145</v>
      </c>
    </row>
    <row r="538" spans="1:8">
      <c r="A538" s="20">
        <v>10776</v>
      </c>
      <c r="B538" s="21" t="s">
        <v>182</v>
      </c>
      <c r="C538" s="21" t="s">
        <v>475</v>
      </c>
      <c r="D538" s="22">
        <v>35779</v>
      </c>
      <c r="E538" s="22">
        <v>35782</v>
      </c>
      <c r="F538" s="21" t="s">
        <v>243</v>
      </c>
      <c r="G538" s="23">
        <v>386.683</v>
      </c>
      <c r="H538" s="24" t="s">
        <v>183</v>
      </c>
    </row>
    <row r="539" spans="1:8">
      <c r="A539" s="25">
        <v>10777</v>
      </c>
      <c r="B539" s="26" t="s">
        <v>228</v>
      </c>
      <c r="C539" s="26" t="s">
        <v>478</v>
      </c>
      <c r="D539" s="27">
        <v>35779</v>
      </c>
      <c r="E539" s="27">
        <v>35816</v>
      </c>
      <c r="F539" s="26" t="s">
        <v>136</v>
      </c>
      <c r="G539" s="28">
        <v>3.311</v>
      </c>
      <c r="H539" s="29" t="s">
        <v>137</v>
      </c>
    </row>
    <row r="540" spans="1:8">
      <c r="A540" s="20">
        <v>10778</v>
      </c>
      <c r="B540" s="21" t="s">
        <v>147</v>
      </c>
      <c r="C540" s="21" t="s">
        <v>473</v>
      </c>
      <c r="D540" s="22">
        <v>35780</v>
      </c>
      <c r="E540" s="22">
        <v>35788</v>
      </c>
      <c r="F540" s="21" t="s">
        <v>249</v>
      </c>
      <c r="G540" s="23">
        <v>7.469</v>
      </c>
      <c r="H540" s="24" t="s">
        <v>148</v>
      </c>
    </row>
    <row r="541" spans="1:8">
      <c r="A541" s="25">
        <v>10779</v>
      </c>
      <c r="B541" s="26" t="s">
        <v>231</v>
      </c>
      <c r="C541" s="26" t="s">
        <v>473</v>
      </c>
      <c r="D541" s="27">
        <v>35780</v>
      </c>
      <c r="E541" s="27">
        <v>35809</v>
      </c>
      <c r="F541" s="26" t="s">
        <v>136</v>
      </c>
      <c r="G541" s="28">
        <v>63.943</v>
      </c>
      <c r="H541" s="29" t="s">
        <v>150</v>
      </c>
    </row>
    <row r="542" spans="1:8">
      <c r="A542" s="20">
        <v>10780</v>
      </c>
      <c r="B542" s="21" t="s">
        <v>211</v>
      </c>
      <c r="C542" s="21" t="s">
        <v>477</v>
      </c>
      <c r="D542" s="22">
        <v>35780</v>
      </c>
      <c r="E542" s="22">
        <v>35789</v>
      </c>
      <c r="F542" s="21" t="s">
        <v>249</v>
      </c>
      <c r="G542" s="23">
        <v>46.343</v>
      </c>
      <c r="H542" s="24" t="s">
        <v>208</v>
      </c>
    </row>
    <row r="543" spans="1:8">
      <c r="A543" s="25">
        <v>10781</v>
      </c>
      <c r="B543" s="26" t="s">
        <v>190</v>
      </c>
      <c r="C543" s="26" t="s">
        <v>477</v>
      </c>
      <c r="D543" s="27">
        <v>35781</v>
      </c>
      <c r="E543" s="27">
        <v>35783</v>
      </c>
      <c r="F543" s="26" t="s">
        <v>243</v>
      </c>
      <c r="G543" s="28">
        <v>80.476</v>
      </c>
      <c r="H543" s="29" t="s">
        <v>191</v>
      </c>
    </row>
    <row r="544" spans="1:8">
      <c r="A544" s="20">
        <v>10782</v>
      </c>
      <c r="B544" s="21" t="s">
        <v>213</v>
      </c>
      <c r="C544" s="21" t="s">
        <v>474</v>
      </c>
      <c r="D544" s="22">
        <v>35781</v>
      </c>
      <c r="E544" s="22">
        <v>35786</v>
      </c>
      <c r="F544" s="21" t="s">
        <v>243</v>
      </c>
      <c r="G544" s="23">
        <v>1.21</v>
      </c>
      <c r="H544" s="24" t="s">
        <v>200</v>
      </c>
    </row>
    <row r="545" spans="1:8">
      <c r="A545" s="25">
        <v>10783</v>
      </c>
      <c r="B545" s="26" t="s">
        <v>135</v>
      </c>
      <c r="C545" s="26" t="s">
        <v>472</v>
      </c>
      <c r="D545" s="27">
        <v>35782</v>
      </c>
      <c r="E545" s="27">
        <v>35783</v>
      </c>
      <c r="F545" s="26" t="s">
        <v>136</v>
      </c>
      <c r="G545" s="28">
        <v>137.478</v>
      </c>
      <c r="H545" s="29" t="s">
        <v>137</v>
      </c>
    </row>
    <row r="546" spans="1:8">
      <c r="A546" s="20">
        <v>10784</v>
      </c>
      <c r="B546" s="21" t="s">
        <v>159</v>
      </c>
      <c r="C546" s="21" t="s">
        <v>472</v>
      </c>
      <c r="D546" s="22">
        <v>35782</v>
      </c>
      <c r="E546" s="22">
        <v>35786</v>
      </c>
      <c r="F546" s="21" t="s">
        <v>243</v>
      </c>
      <c r="G546" s="23">
        <v>77.099</v>
      </c>
      <c r="H546" s="24" t="s">
        <v>160</v>
      </c>
    </row>
    <row r="547" spans="1:8">
      <c r="A547" s="25">
        <v>10785</v>
      </c>
      <c r="B547" s="26" t="s">
        <v>245</v>
      </c>
      <c r="C547" s="26" t="s">
        <v>475</v>
      </c>
      <c r="D547" s="27">
        <v>35782</v>
      </c>
      <c r="E547" s="27">
        <v>35788</v>
      </c>
      <c r="F547" s="26" t="s">
        <v>243</v>
      </c>
      <c r="G547" s="28">
        <v>1.661</v>
      </c>
      <c r="H547" s="29" t="s">
        <v>208</v>
      </c>
    </row>
    <row r="548" spans="1:8">
      <c r="A548" s="20">
        <v>10786</v>
      </c>
      <c r="B548" s="21" t="s">
        <v>184</v>
      </c>
      <c r="C548" s="21" t="s">
        <v>476</v>
      </c>
      <c r="D548" s="22">
        <v>35783</v>
      </c>
      <c r="E548" s="22">
        <v>35787</v>
      </c>
      <c r="F548" s="21" t="s">
        <v>249</v>
      </c>
      <c r="G548" s="23">
        <v>121.957</v>
      </c>
      <c r="H548" s="24" t="s">
        <v>137</v>
      </c>
    </row>
    <row r="549" spans="1:8">
      <c r="A549" s="25">
        <v>10787</v>
      </c>
      <c r="B549" s="26" t="s">
        <v>178</v>
      </c>
      <c r="C549" s="26" t="s">
        <v>477</v>
      </c>
      <c r="D549" s="27">
        <v>35783</v>
      </c>
      <c r="E549" s="27">
        <v>35790</v>
      </c>
      <c r="F549" s="26" t="s">
        <v>249</v>
      </c>
      <c r="G549" s="28">
        <v>274.923</v>
      </c>
      <c r="H549" s="29" t="s">
        <v>154</v>
      </c>
    </row>
    <row r="550" spans="1:8">
      <c r="A550" s="20">
        <v>10788</v>
      </c>
      <c r="B550" s="21" t="s">
        <v>151</v>
      </c>
      <c r="C550" s="21" t="s">
        <v>475</v>
      </c>
      <c r="D550" s="22">
        <v>35786</v>
      </c>
      <c r="E550" s="22">
        <v>35814</v>
      </c>
      <c r="F550" s="21" t="s">
        <v>136</v>
      </c>
      <c r="G550" s="23">
        <v>46.97</v>
      </c>
      <c r="H550" s="24" t="s">
        <v>150</v>
      </c>
    </row>
    <row r="551" spans="1:8">
      <c r="A551" s="25">
        <v>10789</v>
      </c>
      <c r="B551" s="26" t="s">
        <v>206</v>
      </c>
      <c r="C551" s="26" t="s">
        <v>475</v>
      </c>
      <c r="D551" s="27">
        <v>35786</v>
      </c>
      <c r="E551" s="27">
        <v>35795</v>
      </c>
      <c r="F551" s="26" t="s">
        <v>136</v>
      </c>
      <c r="G551" s="28">
        <v>110.66</v>
      </c>
      <c r="H551" s="29" t="s">
        <v>154</v>
      </c>
    </row>
    <row r="552" spans="1:8">
      <c r="A552" s="20">
        <v>10790</v>
      </c>
      <c r="B552" s="21" t="s">
        <v>228</v>
      </c>
      <c r="C552" s="21" t="s">
        <v>471</v>
      </c>
      <c r="D552" s="22">
        <v>35786</v>
      </c>
      <c r="E552" s="22">
        <v>35790</v>
      </c>
      <c r="F552" s="21" t="s">
        <v>249</v>
      </c>
      <c r="G552" s="23">
        <v>31.053</v>
      </c>
      <c r="H552" s="24" t="s">
        <v>137</v>
      </c>
    </row>
    <row r="553" spans="1:8">
      <c r="A553" s="25">
        <v>10791</v>
      </c>
      <c r="B553" s="26" t="s">
        <v>176</v>
      </c>
      <c r="C553" s="26" t="s">
        <v>471</v>
      </c>
      <c r="D553" s="27">
        <v>35787</v>
      </c>
      <c r="E553" s="27">
        <v>35796</v>
      </c>
      <c r="F553" s="26" t="s">
        <v>136</v>
      </c>
      <c r="G553" s="28">
        <v>18.535</v>
      </c>
      <c r="H553" s="29" t="s">
        <v>150</v>
      </c>
    </row>
    <row r="554" spans="1:8">
      <c r="A554" s="20">
        <v>10792</v>
      </c>
      <c r="B554" s="21" t="s">
        <v>224</v>
      </c>
      <c r="C554" s="21" t="s">
        <v>475</v>
      </c>
      <c r="D554" s="22">
        <v>35787</v>
      </c>
      <c r="E554" s="22">
        <v>35795</v>
      </c>
      <c r="F554" s="21" t="s">
        <v>243</v>
      </c>
      <c r="G554" s="23">
        <v>26.169</v>
      </c>
      <c r="H554" s="24" t="s">
        <v>226</v>
      </c>
    </row>
    <row r="555" spans="1:8">
      <c r="A555" s="25">
        <v>10793</v>
      </c>
      <c r="B555" s="26" t="s">
        <v>201</v>
      </c>
      <c r="C555" s="26" t="s">
        <v>473</v>
      </c>
      <c r="D555" s="27">
        <v>35788</v>
      </c>
      <c r="E555" s="27">
        <v>35803</v>
      </c>
      <c r="F555" s="26" t="s">
        <v>243</v>
      </c>
      <c r="G555" s="28">
        <v>4.972</v>
      </c>
      <c r="H555" s="29" t="s">
        <v>169</v>
      </c>
    </row>
    <row r="556" spans="1:8">
      <c r="A556" s="20">
        <v>10794</v>
      </c>
      <c r="B556" s="21" t="s">
        <v>143</v>
      </c>
      <c r="C556" s="21" t="s">
        <v>471</v>
      </c>
      <c r="D556" s="22">
        <v>35788</v>
      </c>
      <c r="E556" s="22">
        <v>35797</v>
      </c>
      <c r="F556" s="21" t="s">
        <v>249</v>
      </c>
      <c r="G556" s="23">
        <v>23.639</v>
      </c>
      <c r="H556" s="24" t="s">
        <v>137</v>
      </c>
    </row>
    <row r="557" spans="1:8">
      <c r="A557" s="25">
        <v>10795</v>
      </c>
      <c r="B557" s="26" t="s">
        <v>182</v>
      </c>
      <c r="C557" s="26" t="s">
        <v>476</v>
      </c>
      <c r="D557" s="27">
        <v>35788</v>
      </c>
      <c r="E557" s="27">
        <v>35815</v>
      </c>
      <c r="F557" s="26" t="s">
        <v>136</v>
      </c>
      <c r="G557" s="28">
        <v>139.326</v>
      </c>
      <c r="H557" s="29" t="s">
        <v>183</v>
      </c>
    </row>
    <row r="558" spans="1:8">
      <c r="A558" s="20">
        <v>10796</v>
      </c>
      <c r="B558" s="21" t="s">
        <v>209</v>
      </c>
      <c r="C558" s="21" t="s">
        <v>473</v>
      </c>
      <c r="D558" s="22">
        <v>35789</v>
      </c>
      <c r="E558" s="22">
        <v>35809</v>
      </c>
      <c r="F558" s="21" t="s">
        <v>249</v>
      </c>
      <c r="G558" s="23">
        <v>29.172</v>
      </c>
      <c r="H558" s="24" t="s">
        <v>208</v>
      </c>
    </row>
    <row r="559" spans="1:8">
      <c r="A559" s="25">
        <v>10797</v>
      </c>
      <c r="B559" s="26" t="s">
        <v>232</v>
      </c>
      <c r="C559" s="26" t="s">
        <v>478</v>
      </c>
      <c r="D559" s="27">
        <v>35789</v>
      </c>
      <c r="E559" s="27">
        <v>35800</v>
      </c>
      <c r="F559" s="26" t="s">
        <v>136</v>
      </c>
      <c r="G559" s="28">
        <v>36.685</v>
      </c>
      <c r="H559" s="29" t="s">
        <v>150</v>
      </c>
    </row>
    <row r="560" spans="1:8">
      <c r="A560" s="20">
        <v>10798</v>
      </c>
      <c r="B560" s="21" t="s">
        <v>168</v>
      </c>
      <c r="C560" s="21" t="s">
        <v>477</v>
      </c>
      <c r="D560" s="22">
        <v>35790</v>
      </c>
      <c r="E560" s="22">
        <v>35800</v>
      </c>
      <c r="F560" s="21" t="s">
        <v>249</v>
      </c>
      <c r="G560" s="23">
        <v>2.563</v>
      </c>
      <c r="H560" s="24" t="s">
        <v>169</v>
      </c>
    </row>
    <row r="561" spans="1:8">
      <c r="A561" s="25">
        <v>10799</v>
      </c>
      <c r="B561" s="26" t="s">
        <v>202</v>
      </c>
      <c r="C561" s="26" t="s">
        <v>474</v>
      </c>
      <c r="D561" s="27">
        <v>35790</v>
      </c>
      <c r="E561" s="27">
        <v>35800</v>
      </c>
      <c r="F561" s="26" t="s">
        <v>243</v>
      </c>
      <c r="G561" s="28">
        <v>33.836</v>
      </c>
      <c r="H561" s="29" t="s">
        <v>150</v>
      </c>
    </row>
    <row r="562" spans="1:8">
      <c r="A562" s="20">
        <v>10800</v>
      </c>
      <c r="B562" s="21" t="s">
        <v>214</v>
      </c>
      <c r="C562" s="21" t="s">
        <v>475</v>
      </c>
      <c r="D562" s="22">
        <v>35790</v>
      </c>
      <c r="E562" s="22">
        <v>35800</v>
      </c>
      <c r="F562" s="21" t="s">
        <v>243</v>
      </c>
      <c r="G562" s="23">
        <v>151.184</v>
      </c>
      <c r="H562" s="24" t="s">
        <v>169</v>
      </c>
    </row>
    <row r="563" spans="1:8">
      <c r="A563" s="25">
        <v>10801</v>
      </c>
      <c r="B563" s="26" t="s">
        <v>170</v>
      </c>
      <c r="C563" s="26" t="s">
        <v>472</v>
      </c>
      <c r="D563" s="27">
        <v>35793</v>
      </c>
      <c r="E563" s="27">
        <v>35795</v>
      </c>
      <c r="F563" s="26" t="s">
        <v>136</v>
      </c>
      <c r="G563" s="28">
        <v>106.799</v>
      </c>
      <c r="H563" s="29" t="s">
        <v>163</v>
      </c>
    </row>
    <row r="564" spans="1:8">
      <c r="A564" s="20">
        <v>10802</v>
      </c>
      <c r="B564" s="21" t="s">
        <v>233</v>
      </c>
      <c r="C564" s="21" t="s">
        <v>472</v>
      </c>
      <c r="D564" s="22">
        <v>35793</v>
      </c>
      <c r="E564" s="22">
        <v>35797</v>
      </c>
      <c r="F564" s="21" t="s">
        <v>136</v>
      </c>
      <c r="G564" s="23">
        <v>282.986</v>
      </c>
      <c r="H564" s="24" t="s">
        <v>222</v>
      </c>
    </row>
    <row r="565" spans="1:8">
      <c r="A565" s="25">
        <v>10803</v>
      </c>
      <c r="B565" s="26" t="s">
        <v>142</v>
      </c>
      <c r="C565" s="26" t="s">
        <v>472</v>
      </c>
      <c r="D565" s="27">
        <v>35794</v>
      </c>
      <c r="E565" s="27">
        <v>35801</v>
      </c>
      <c r="F565" s="26" t="s">
        <v>249</v>
      </c>
      <c r="G565" s="28">
        <v>60.753</v>
      </c>
      <c r="H565" s="29" t="s">
        <v>137</v>
      </c>
    </row>
    <row r="566" spans="1:8">
      <c r="A566" s="20">
        <v>10804</v>
      </c>
      <c r="B566" s="21" t="s">
        <v>214</v>
      </c>
      <c r="C566" s="21" t="s">
        <v>471</v>
      </c>
      <c r="D566" s="22">
        <v>35794</v>
      </c>
      <c r="E566" s="22">
        <v>35802</v>
      </c>
      <c r="F566" s="21" t="s">
        <v>136</v>
      </c>
      <c r="G566" s="23">
        <v>30.063</v>
      </c>
      <c r="H566" s="24" t="s">
        <v>169</v>
      </c>
    </row>
    <row r="567" spans="1:8">
      <c r="A567" s="25">
        <v>10805</v>
      </c>
      <c r="B567" s="26" t="s">
        <v>167</v>
      </c>
      <c r="C567" s="26" t="s">
        <v>477</v>
      </c>
      <c r="D567" s="27">
        <v>35794</v>
      </c>
      <c r="E567" s="27">
        <v>35804</v>
      </c>
      <c r="F567" s="26" t="s">
        <v>243</v>
      </c>
      <c r="G567" s="28">
        <v>261.074</v>
      </c>
      <c r="H567" s="29" t="s">
        <v>145</v>
      </c>
    </row>
    <row r="568" spans="1:8">
      <c r="A568" s="20">
        <v>10806</v>
      </c>
      <c r="B568" s="21" t="s">
        <v>173</v>
      </c>
      <c r="C568" s="21" t="s">
        <v>473</v>
      </c>
      <c r="D568" s="22">
        <v>35795</v>
      </c>
      <c r="E568" s="22">
        <v>35800</v>
      </c>
      <c r="F568" s="21" t="s">
        <v>136</v>
      </c>
      <c r="G568" s="23">
        <v>24.321</v>
      </c>
      <c r="H568" s="24" t="s">
        <v>154</v>
      </c>
    </row>
    <row r="569" spans="1:8">
      <c r="A569" s="25">
        <v>10807</v>
      </c>
      <c r="B569" s="26" t="s">
        <v>241</v>
      </c>
      <c r="C569" s="26" t="s">
        <v>472</v>
      </c>
      <c r="D569" s="27">
        <v>35795</v>
      </c>
      <c r="E569" s="27">
        <v>35825</v>
      </c>
      <c r="F569" s="26" t="s">
        <v>249</v>
      </c>
      <c r="G569" s="28">
        <v>1.496</v>
      </c>
      <c r="H569" s="29" t="s">
        <v>160</v>
      </c>
    </row>
    <row r="570" spans="1:8">
      <c r="A570" s="20">
        <v>10808</v>
      </c>
      <c r="B570" s="21" t="s">
        <v>174</v>
      </c>
      <c r="C570" s="21" t="s">
        <v>477</v>
      </c>
      <c r="D570" s="22">
        <v>35796</v>
      </c>
      <c r="E570" s="22">
        <v>35804</v>
      </c>
      <c r="F570" s="21" t="s">
        <v>243</v>
      </c>
      <c r="G570" s="23">
        <v>50.083</v>
      </c>
      <c r="H570" s="24" t="s">
        <v>145</v>
      </c>
    </row>
    <row r="571" spans="1:8">
      <c r="A571" s="25">
        <v>10809</v>
      </c>
      <c r="B571" s="26" t="s">
        <v>142</v>
      </c>
      <c r="C571" s="26" t="s">
        <v>478</v>
      </c>
      <c r="D571" s="27">
        <v>35796</v>
      </c>
      <c r="E571" s="27">
        <v>35802</v>
      </c>
      <c r="F571" s="26" t="s">
        <v>249</v>
      </c>
      <c r="G571" s="28">
        <v>5.357</v>
      </c>
      <c r="H571" s="29" t="s">
        <v>137</v>
      </c>
    </row>
    <row r="572" spans="1:8">
      <c r="A572" s="20">
        <v>10810</v>
      </c>
      <c r="B572" s="21" t="s">
        <v>247</v>
      </c>
      <c r="C572" s="21" t="s">
        <v>477</v>
      </c>
      <c r="D572" s="22">
        <v>35796</v>
      </c>
      <c r="E572" s="22">
        <v>35802</v>
      </c>
      <c r="F572" s="21" t="s">
        <v>243</v>
      </c>
      <c r="G572" s="23">
        <v>4.763</v>
      </c>
      <c r="H572" s="24" t="s">
        <v>172</v>
      </c>
    </row>
    <row r="573" spans="1:8">
      <c r="A573" s="25">
        <v>10811</v>
      </c>
      <c r="B573" s="26" t="s">
        <v>207</v>
      </c>
      <c r="C573" s="26" t="s">
        <v>476</v>
      </c>
      <c r="D573" s="27">
        <v>35797</v>
      </c>
      <c r="E573" s="27">
        <v>35803</v>
      </c>
      <c r="F573" s="26" t="s">
        <v>249</v>
      </c>
      <c r="G573" s="28">
        <v>34.342</v>
      </c>
      <c r="H573" s="29" t="s">
        <v>208</v>
      </c>
    </row>
    <row r="574" spans="1:8">
      <c r="A574" s="20">
        <v>10812</v>
      </c>
      <c r="B574" s="21" t="s">
        <v>229</v>
      </c>
      <c r="C574" s="21" t="s">
        <v>470</v>
      </c>
      <c r="D574" s="22">
        <v>35797</v>
      </c>
      <c r="E574" s="22">
        <v>35807</v>
      </c>
      <c r="F574" s="21" t="s">
        <v>249</v>
      </c>
      <c r="G574" s="23">
        <v>65.758</v>
      </c>
      <c r="H574" s="24" t="s">
        <v>160</v>
      </c>
    </row>
    <row r="575" spans="1:8">
      <c r="A575" s="25">
        <v>10813</v>
      </c>
      <c r="B575" s="26" t="s">
        <v>158</v>
      </c>
      <c r="C575" s="26" t="s">
        <v>475</v>
      </c>
      <c r="D575" s="27">
        <v>35800</v>
      </c>
      <c r="E575" s="27">
        <v>35804</v>
      </c>
      <c r="F575" s="26" t="s">
        <v>249</v>
      </c>
      <c r="G575" s="28">
        <v>52.118</v>
      </c>
      <c r="H575" s="29" t="s">
        <v>137</v>
      </c>
    </row>
    <row r="576" spans="1:8">
      <c r="A576" s="20">
        <v>10814</v>
      </c>
      <c r="B576" s="21" t="s">
        <v>173</v>
      </c>
      <c r="C576" s="21" t="s">
        <v>473</v>
      </c>
      <c r="D576" s="22">
        <v>35800</v>
      </c>
      <c r="E576" s="22">
        <v>35809</v>
      </c>
      <c r="F576" s="21" t="s">
        <v>243</v>
      </c>
      <c r="G576" s="23">
        <v>144.034</v>
      </c>
      <c r="H576" s="24" t="s">
        <v>154</v>
      </c>
    </row>
    <row r="577" spans="1:8">
      <c r="A577" s="25">
        <v>10815</v>
      </c>
      <c r="B577" s="26" t="s">
        <v>197</v>
      </c>
      <c r="C577" s="26" t="s">
        <v>477</v>
      </c>
      <c r="D577" s="27">
        <v>35800</v>
      </c>
      <c r="E577" s="27">
        <v>35809</v>
      </c>
      <c r="F577" s="26" t="s">
        <v>243</v>
      </c>
      <c r="G577" s="28">
        <v>16.082</v>
      </c>
      <c r="H577" s="29" t="s">
        <v>145</v>
      </c>
    </row>
    <row r="578" spans="1:8">
      <c r="A578" s="20">
        <v>10816</v>
      </c>
      <c r="B578" s="21" t="s">
        <v>215</v>
      </c>
      <c r="C578" s="21" t="s">
        <v>472</v>
      </c>
      <c r="D578" s="22">
        <v>35801</v>
      </c>
      <c r="E578" s="22">
        <v>35830</v>
      </c>
      <c r="F578" s="21" t="s">
        <v>136</v>
      </c>
      <c r="G578" s="23">
        <v>791.758</v>
      </c>
      <c r="H578" s="24" t="s">
        <v>145</v>
      </c>
    </row>
    <row r="579" spans="1:8">
      <c r="A579" s="25">
        <v>10817</v>
      </c>
      <c r="B579" s="26" t="s">
        <v>202</v>
      </c>
      <c r="C579" s="26" t="s">
        <v>473</v>
      </c>
      <c r="D579" s="27">
        <v>35801</v>
      </c>
      <c r="E579" s="27">
        <v>35808</v>
      </c>
      <c r="F579" s="26" t="s">
        <v>136</v>
      </c>
      <c r="G579" s="28">
        <v>336.677</v>
      </c>
      <c r="H579" s="29" t="s">
        <v>150</v>
      </c>
    </row>
    <row r="580" spans="1:8">
      <c r="A580" s="20">
        <v>10818</v>
      </c>
      <c r="B580" s="21" t="s">
        <v>159</v>
      </c>
      <c r="C580" s="21" t="s">
        <v>478</v>
      </c>
      <c r="D580" s="22">
        <v>35802</v>
      </c>
      <c r="E580" s="22">
        <v>35807</v>
      </c>
      <c r="F580" s="21" t="s">
        <v>243</v>
      </c>
      <c r="G580" s="23">
        <v>72.028</v>
      </c>
      <c r="H580" s="24" t="s">
        <v>160</v>
      </c>
    </row>
    <row r="581" spans="1:8">
      <c r="A581" s="25">
        <v>10819</v>
      </c>
      <c r="B581" s="26" t="s">
        <v>213</v>
      </c>
      <c r="C581" s="26" t="s">
        <v>477</v>
      </c>
      <c r="D581" s="27">
        <v>35802</v>
      </c>
      <c r="E581" s="27">
        <v>35811</v>
      </c>
      <c r="F581" s="26" t="s">
        <v>243</v>
      </c>
      <c r="G581" s="28">
        <v>21.736</v>
      </c>
      <c r="H581" s="29" t="s">
        <v>200</v>
      </c>
    </row>
    <row r="582" spans="1:8">
      <c r="A582" s="20">
        <v>10820</v>
      </c>
      <c r="B582" s="21" t="s">
        <v>146</v>
      </c>
      <c r="C582" s="21" t="s">
        <v>473</v>
      </c>
      <c r="D582" s="22">
        <v>35802</v>
      </c>
      <c r="E582" s="22">
        <v>35808</v>
      </c>
      <c r="F582" s="21" t="s">
        <v>136</v>
      </c>
      <c r="G582" s="23">
        <v>41.272</v>
      </c>
      <c r="H582" s="24" t="s">
        <v>145</v>
      </c>
    </row>
    <row r="583" spans="1:8">
      <c r="A583" s="25">
        <v>10821</v>
      </c>
      <c r="B583" s="26" t="s">
        <v>144</v>
      </c>
      <c r="C583" s="26" t="s">
        <v>475</v>
      </c>
      <c r="D583" s="27">
        <v>35803</v>
      </c>
      <c r="E583" s="27">
        <v>35810</v>
      </c>
      <c r="F583" s="26" t="s">
        <v>249</v>
      </c>
      <c r="G583" s="28">
        <v>40.348</v>
      </c>
      <c r="H583" s="29" t="s">
        <v>145</v>
      </c>
    </row>
    <row r="584" spans="1:8">
      <c r="A584" s="20">
        <v>10822</v>
      </c>
      <c r="B584" s="21" t="s">
        <v>218</v>
      </c>
      <c r="C584" s="21" t="s">
        <v>471</v>
      </c>
      <c r="D584" s="22">
        <v>35803</v>
      </c>
      <c r="E584" s="22">
        <v>35811</v>
      </c>
      <c r="F584" s="21" t="s">
        <v>243</v>
      </c>
      <c r="G584" s="23">
        <v>7.7</v>
      </c>
      <c r="H584" s="24" t="s">
        <v>145</v>
      </c>
    </row>
    <row r="585" spans="1:8">
      <c r="A585" s="25">
        <v>10823</v>
      </c>
      <c r="B585" s="26" t="s">
        <v>211</v>
      </c>
      <c r="C585" s="26" t="s">
        <v>470</v>
      </c>
      <c r="D585" s="27">
        <v>35804</v>
      </c>
      <c r="E585" s="27">
        <v>35808</v>
      </c>
      <c r="F585" s="26" t="s">
        <v>136</v>
      </c>
      <c r="G585" s="28">
        <v>180.367</v>
      </c>
      <c r="H585" s="29" t="s">
        <v>208</v>
      </c>
    </row>
    <row r="586" spans="1:8">
      <c r="A586" s="20">
        <v>10824</v>
      </c>
      <c r="B586" s="21" t="s">
        <v>194</v>
      </c>
      <c r="C586" s="21" t="s">
        <v>476</v>
      </c>
      <c r="D586" s="22">
        <v>35804</v>
      </c>
      <c r="E586" s="22">
        <v>35825</v>
      </c>
      <c r="F586" s="21" t="s">
        <v>249</v>
      </c>
      <c r="G586" s="23">
        <v>1.353</v>
      </c>
      <c r="H586" s="24" t="s">
        <v>148</v>
      </c>
    </row>
    <row r="587" spans="1:8">
      <c r="A587" s="25">
        <v>10825</v>
      </c>
      <c r="B587" s="26" t="s">
        <v>232</v>
      </c>
      <c r="C587" s="26" t="s">
        <v>475</v>
      </c>
      <c r="D587" s="27">
        <v>35804</v>
      </c>
      <c r="E587" s="27">
        <v>35809</v>
      </c>
      <c r="F587" s="26" t="s">
        <v>249</v>
      </c>
      <c r="G587" s="28">
        <v>87.175</v>
      </c>
      <c r="H587" s="29" t="s">
        <v>150</v>
      </c>
    </row>
    <row r="588" spans="1:8">
      <c r="A588" s="20">
        <v>10826</v>
      </c>
      <c r="B588" s="21" t="s">
        <v>155</v>
      </c>
      <c r="C588" s="21" t="s">
        <v>471</v>
      </c>
      <c r="D588" s="22">
        <v>35807</v>
      </c>
      <c r="E588" s="22">
        <v>35832</v>
      </c>
      <c r="F588" s="21" t="s">
        <v>249</v>
      </c>
      <c r="G588" s="23">
        <v>7.799</v>
      </c>
      <c r="H588" s="24" t="s">
        <v>154</v>
      </c>
    </row>
    <row r="589" spans="1:8">
      <c r="A589" s="25">
        <v>10827</v>
      </c>
      <c r="B589" s="26" t="s">
        <v>204</v>
      </c>
      <c r="C589" s="26" t="s">
        <v>475</v>
      </c>
      <c r="D589" s="27">
        <v>35807</v>
      </c>
      <c r="E589" s="27">
        <v>35832</v>
      </c>
      <c r="F589" s="26" t="s">
        <v>136</v>
      </c>
      <c r="G589" s="28">
        <v>69.894</v>
      </c>
      <c r="H589" s="29" t="s">
        <v>154</v>
      </c>
    </row>
    <row r="590" spans="1:8">
      <c r="A590" s="20">
        <v>10828</v>
      </c>
      <c r="B590" s="21" t="s">
        <v>199</v>
      </c>
      <c r="C590" s="21" t="s">
        <v>474</v>
      </c>
      <c r="D590" s="22">
        <v>35808</v>
      </c>
      <c r="E590" s="22">
        <v>35830</v>
      </c>
      <c r="F590" s="21" t="s">
        <v>249</v>
      </c>
      <c r="G590" s="23">
        <v>99.935</v>
      </c>
      <c r="H590" s="24" t="s">
        <v>200</v>
      </c>
    </row>
    <row r="591" spans="1:8">
      <c r="A591" s="25">
        <v>10829</v>
      </c>
      <c r="B591" s="26" t="s">
        <v>168</v>
      </c>
      <c r="C591" s="26" t="s">
        <v>474</v>
      </c>
      <c r="D591" s="27">
        <v>35808</v>
      </c>
      <c r="E591" s="27">
        <v>35818</v>
      </c>
      <c r="F591" s="26" t="s">
        <v>249</v>
      </c>
      <c r="G591" s="28">
        <v>170.192</v>
      </c>
      <c r="H591" s="29" t="s">
        <v>169</v>
      </c>
    </row>
    <row r="592" spans="1:8">
      <c r="A592" s="20">
        <v>10830</v>
      </c>
      <c r="B592" s="21" t="s">
        <v>152</v>
      </c>
      <c r="C592" s="21" t="s">
        <v>472</v>
      </c>
      <c r="D592" s="22">
        <v>35808</v>
      </c>
      <c r="E592" s="22">
        <v>35816</v>
      </c>
      <c r="F592" s="21" t="s">
        <v>136</v>
      </c>
      <c r="G592" s="23">
        <v>90.013</v>
      </c>
      <c r="H592" s="24" t="s">
        <v>137</v>
      </c>
    </row>
    <row r="593" spans="1:8">
      <c r="A593" s="25">
        <v>10831</v>
      </c>
      <c r="B593" s="26" t="s">
        <v>186</v>
      </c>
      <c r="C593" s="26" t="s">
        <v>473</v>
      </c>
      <c r="D593" s="27">
        <v>35809</v>
      </c>
      <c r="E593" s="27">
        <v>35818</v>
      </c>
      <c r="F593" s="26" t="s">
        <v>136</v>
      </c>
      <c r="G593" s="28">
        <v>79.409</v>
      </c>
      <c r="H593" s="29" t="s">
        <v>187</v>
      </c>
    </row>
    <row r="594" spans="1:8">
      <c r="A594" s="20">
        <v>10832</v>
      </c>
      <c r="B594" s="21" t="s">
        <v>178</v>
      </c>
      <c r="C594" s="21" t="s">
        <v>477</v>
      </c>
      <c r="D594" s="22">
        <v>35809</v>
      </c>
      <c r="E594" s="22">
        <v>35814</v>
      </c>
      <c r="F594" s="21" t="s">
        <v>136</v>
      </c>
      <c r="G594" s="23">
        <v>47.586</v>
      </c>
      <c r="H594" s="24" t="s">
        <v>154</v>
      </c>
    </row>
    <row r="595" spans="1:8">
      <c r="A595" s="25">
        <v>10833</v>
      </c>
      <c r="B595" s="26" t="s">
        <v>189</v>
      </c>
      <c r="C595" s="26" t="s">
        <v>471</v>
      </c>
      <c r="D595" s="27">
        <v>35810</v>
      </c>
      <c r="E595" s="27">
        <v>35818</v>
      </c>
      <c r="F595" s="26" t="s">
        <v>136</v>
      </c>
      <c r="G595" s="28">
        <v>78.639</v>
      </c>
      <c r="H595" s="29" t="s">
        <v>150</v>
      </c>
    </row>
    <row r="596" spans="1:8">
      <c r="A596" s="20">
        <v>10834</v>
      </c>
      <c r="B596" s="21" t="s">
        <v>152</v>
      </c>
      <c r="C596" s="21" t="s">
        <v>475</v>
      </c>
      <c r="D596" s="22">
        <v>35810</v>
      </c>
      <c r="E596" s="22">
        <v>35814</v>
      </c>
      <c r="F596" s="21" t="s">
        <v>243</v>
      </c>
      <c r="G596" s="23">
        <v>32.758</v>
      </c>
      <c r="H596" s="24" t="s">
        <v>137</v>
      </c>
    </row>
    <row r="597" spans="1:8">
      <c r="A597" s="25">
        <v>10835</v>
      </c>
      <c r="B597" s="26" t="s">
        <v>230</v>
      </c>
      <c r="C597" s="26" t="s">
        <v>475</v>
      </c>
      <c r="D597" s="27">
        <v>35810</v>
      </c>
      <c r="E597" s="27">
        <v>35816</v>
      </c>
      <c r="F597" s="26" t="s">
        <v>243</v>
      </c>
      <c r="G597" s="28">
        <v>76.483</v>
      </c>
      <c r="H597" s="29" t="s">
        <v>150</v>
      </c>
    </row>
    <row r="598" spans="1:8">
      <c r="A598" s="20">
        <v>10836</v>
      </c>
      <c r="B598" s="21" t="s">
        <v>182</v>
      </c>
      <c r="C598" s="21" t="s">
        <v>478</v>
      </c>
      <c r="D598" s="22">
        <v>35811</v>
      </c>
      <c r="E598" s="22">
        <v>35816</v>
      </c>
      <c r="F598" s="21" t="s">
        <v>249</v>
      </c>
      <c r="G598" s="23">
        <v>453.068</v>
      </c>
      <c r="H598" s="24" t="s">
        <v>183</v>
      </c>
    </row>
    <row r="599" spans="1:8">
      <c r="A599" s="25">
        <v>10837</v>
      </c>
      <c r="B599" s="26" t="s">
        <v>147</v>
      </c>
      <c r="C599" s="26" t="s">
        <v>474</v>
      </c>
      <c r="D599" s="27">
        <v>35811</v>
      </c>
      <c r="E599" s="27">
        <v>35818</v>
      </c>
      <c r="F599" s="26" t="s">
        <v>243</v>
      </c>
      <c r="G599" s="28">
        <v>14.652</v>
      </c>
      <c r="H599" s="29" t="s">
        <v>148</v>
      </c>
    </row>
    <row r="600" spans="1:8">
      <c r="A600" s="20">
        <v>10838</v>
      </c>
      <c r="B600" s="21" t="s">
        <v>207</v>
      </c>
      <c r="C600" s="21" t="s">
        <v>473</v>
      </c>
      <c r="D600" s="22">
        <v>35814</v>
      </c>
      <c r="E600" s="22">
        <v>35818</v>
      </c>
      <c r="F600" s="21" t="s">
        <v>243</v>
      </c>
      <c r="G600" s="23">
        <v>65.208</v>
      </c>
      <c r="H600" s="24" t="s">
        <v>208</v>
      </c>
    </row>
    <row r="601" spans="1:8">
      <c r="A601" s="25">
        <v>10839</v>
      </c>
      <c r="B601" s="26" t="s">
        <v>152</v>
      </c>
      <c r="C601" s="26" t="s">
        <v>473</v>
      </c>
      <c r="D601" s="27">
        <v>35814</v>
      </c>
      <c r="E601" s="27">
        <v>35817</v>
      </c>
      <c r="F601" s="26" t="s">
        <v>243</v>
      </c>
      <c r="G601" s="28">
        <v>38.973</v>
      </c>
      <c r="H601" s="29" t="s">
        <v>137</v>
      </c>
    </row>
    <row r="602" spans="1:8">
      <c r="A602" s="20">
        <v>10840</v>
      </c>
      <c r="B602" s="21" t="s">
        <v>207</v>
      </c>
      <c r="C602" s="21" t="s">
        <v>472</v>
      </c>
      <c r="D602" s="22">
        <v>35814</v>
      </c>
      <c r="E602" s="22">
        <v>35842</v>
      </c>
      <c r="F602" s="21" t="s">
        <v>136</v>
      </c>
      <c r="G602" s="23">
        <v>2.981</v>
      </c>
      <c r="H602" s="24" t="s">
        <v>208</v>
      </c>
    </row>
    <row r="603" spans="1:8">
      <c r="A603" s="25">
        <v>10841</v>
      </c>
      <c r="B603" s="26" t="s">
        <v>138</v>
      </c>
      <c r="C603" s="26" t="s">
        <v>470</v>
      </c>
      <c r="D603" s="27">
        <v>35815</v>
      </c>
      <c r="E603" s="27">
        <v>35824</v>
      </c>
      <c r="F603" s="26" t="s">
        <v>136</v>
      </c>
      <c r="G603" s="28">
        <v>466.73</v>
      </c>
      <c r="H603" s="29" t="s">
        <v>139</v>
      </c>
    </row>
    <row r="604" spans="1:8">
      <c r="A604" s="20">
        <v>10842</v>
      </c>
      <c r="B604" s="21" t="s">
        <v>164</v>
      </c>
      <c r="C604" s="21" t="s">
        <v>475</v>
      </c>
      <c r="D604" s="22">
        <v>35815</v>
      </c>
      <c r="E604" s="22">
        <v>35824</v>
      </c>
      <c r="F604" s="21" t="s">
        <v>243</v>
      </c>
      <c r="G604" s="23">
        <v>59.862</v>
      </c>
      <c r="H604" s="24" t="s">
        <v>165</v>
      </c>
    </row>
    <row r="605" spans="1:8">
      <c r="A605" s="25">
        <v>10843</v>
      </c>
      <c r="B605" s="26" t="s">
        <v>173</v>
      </c>
      <c r="C605" s="26" t="s">
        <v>472</v>
      </c>
      <c r="D605" s="27">
        <v>35816</v>
      </c>
      <c r="E605" s="27">
        <v>35821</v>
      </c>
      <c r="F605" s="26" t="s">
        <v>136</v>
      </c>
      <c r="G605" s="28">
        <v>10.186</v>
      </c>
      <c r="H605" s="29" t="s">
        <v>154</v>
      </c>
    </row>
    <row r="606" spans="1:8">
      <c r="A606" s="20">
        <v>10844</v>
      </c>
      <c r="B606" s="21" t="s">
        <v>193</v>
      </c>
      <c r="C606" s="21" t="s">
        <v>476</v>
      </c>
      <c r="D606" s="22">
        <v>35816</v>
      </c>
      <c r="E606" s="22">
        <v>35821</v>
      </c>
      <c r="F606" s="21" t="s">
        <v>136</v>
      </c>
      <c r="G606" s="23">
        <v>27.742</v>
      </c>
      <c r="H606" s="24" t="s">
        <v>183</v>
      </c>
    </row>
    <row r="607" spans="1:8">
      <c r="A607" s="25">
        <v>10845</v>
      </c>
      <c r="B607" s="26" t="s">
        <v>151</v>
      </c>
      <c r="C607" s="26" t="s">
        <v>476</v>
      </c>
      <c r="D607" s="27">
        <v>35816</v>
      </c>
      <c r="E607" s="27">
        <v>35825</v>
      </c>
      <c r="F607" s="26" t="s">
        <v>249</v>
      </c>
      <c r="G607" s="28">
        <v>234.278</v>
      </c>
      <c r="H607" s="29" t="s">
        <v>150</v>
      </c>
    </row>
    <row r="608" spans="1:8">
      <c r="A608" s="20">
        <v>10846</v>
      </c>
      <c r="B608" s="21" t="s">
        <v>138</v>
      </c>
      <c r="C608" s="21" t="s">
        <v>477</v>
      </c>
      <c r="D608" s="22">
        <v>35817</v>
      </c>
      <c r="E608" s="22">
        <v>35818</v>
      </c>
      <c r="F608" s="21" t="s">
        <v>243</v>
      </c>
      <c r="G608" s="23">
        <v>62.106</v>
      </c>
      <c r="H608" s="24" t="s">
        <v>139</v>
      </c>
    </row>
    <row r="609" spans="1:8">
      <c r="A609" s="25">
        <v>10847</v>
      </c>
      <c r="B609" s="26" t="s">
        <v>197</v>
      </c>
      <c r="C609" s="26" t="s">
        <v>472</v>
      </c>
      <c r="D609" s="27">
        <v>35817</v>
      </c>
      <c r="E609" s="27">
        <v>35836</v>
      </c>
      <c r="F609" s="26" t="s">
        <v>243</v>
      </c>
      <c r="G609" s="28">
        <v>536.327</v>
      </c>
      <c r="H609" s="29" t="s">
        <v>145</v>
      </c>
    </row>
    <row r="610" spans="1:8">
      <c r="A610" s="20">
        <v>10848</v>
      </c>
      <c r="B610" s="21" t="s">
        <v>195</v>
      </c>
      <c r="C610" s="21" t="s">
        <v>478</v>
      </c>
      <c r="D610" s="22">
        <v>35818</v>
      </c>
      <c r="E610" s="22">
        <v>35824</v>
      </c>
      <c r="F610" s="21" t="s">
        <v>136</v>
      </c>
      <c r="G610" s="23">
        <v>42.064</v>
      </c>
      <c r="H610" s="24" t="s">
        <v>169</v>
      </c>
    </row>
    <row r="611" spans="1:8">
      <c r="A611" s="25">
        <v>10849</v>
      </c>
      <c r="B611" s="26" t="s">
        <v>202</v>
      </c>
      <c r="C611" s="26" t="s">
        <v>474</v>
      </c>
      <c r="D611" s="27">
        <v>35818</v>
      </c>
      <c r="E611" s="27">
        <v>35825</v>
      </c>
      <c r="F611" s="26" t="s">
        <v>136</v>
      </c>
      <c r="G611" s="28">
        <v>0.616</v>
      </c>
      <c r="H611" s="29" t="s">
        <v>150</v>
      </c>
    </row>
    <row r="612" spans="1:8">
      <c r="A612" s="20">
        <v>10850</v>
      </c>
      <c r="B612" s="21" t="s">
        <v>173</v>
      </c>
      <c r="C612" s="21" t="s">
        <v>475</v>
      </c>
      <c r="D612" s="22">
        <v>35818</v>
      </c>
      <c r="E612" s="22">
        <v>35825</v>
      </c>
      <c r="F612" s="21" t="s">
        <v>249</v>
      </c>
      <c r="G612" s="23">
        <v>54.109</v>
      </c>
      <c r="H612" s="24" t="s">
        <v>154</v>
      </c>
    </row>
    <row r="613" spans="1:8">
      <c r="A613" s="25">
        <v>10851</v>
      </c>
      <c r="B613" s="26" t="s">
        <v>158</v>
      </c>
      <c r="C613" s="26" t="s">
        <v>470</v>
      </c>
      <c r="D613" s="27">
        <v>35821</v>
      </c>
      <c r="E613" s="27">
        <v>35828</v>
      </c>
      <c r="F613" s="26" t="s">
        <v>249</v>
      </c>
      <c r="G613" s="28">
        <v>176.605</v>
      </c>
      <c r="H613" s="29" t="s">
        <v>137</v>
      </c>
    </row>
    <row r="614" spans="1:8">
      <c r="A614" s="20">
        <v>10852</v>
      </c>
      <c r="B614" s="21" t="s">
        <v>146</v>
      </c>
      <c r="C614" s="21" t="s">
        <v>476</v>
      </c>
      <c r="D614" s="22">
        <v>35821</v>
      </c>
      <c r="E614" s="22">
        <v>35825</v>
      </c>
      <c r="F614" s="21" t="s">
        <v>249</v>
      </c>
      <c r="G614" s="23">
        <v>191.455</v>
      </c>
      <c r="H614" s="24" t="s">
        <v>145</v>
      </c>
    </row>
    <row r="615" spans="1:8">
      <c r="A615" s="25">
        <v>10853</v>
      </c>
      <c r="B615" s="26" t="s">
        <v>220</v>
      </c>
      <c r="C615" s="26" t="s">
        <v>474</v>
      </c>
      <c r="D615" s="27">
        <v>35822</v>
      </c>
      <c r="E615" s="27">
        <v>35829</v>
      </c>
      <c r="F615" s="26" t="s">
        <v>136</v>
      </c>
      <c r="G615" s="28">
        <v>59.213</v>
      </c>
      <c r="H615" s="29" t="s">
        <v>150</v>
      </c>
    </row>
    <row r="616" spans="1:8">
      <c r="A616" s="20">
        <v>10854</v>
      </c>
      <c r="B616" s="21" t="s">
        <v>182</v>
      </c>
      <c r="C616" s="21" t="s">
        <v>473</v>
      </c>
      <c r="D616" s="22">
        <v>35822</v>
      </c>
      <c r="E616" s="22">
        <v>35831</v>
      </c>
      <c r="F616" s="21" t="s">
        <v>136</v>
      </c>
      <c r="G616" s="23">
        <v>110.242</v>
      </c>
      <c r="H616" s="24" t="s">
        <v>183</v>
      </c>
    </row>
    <row r="617" spans="1:8">
      <c r="A617" s="25">
        <v>10855</v>
      </c>
      <c r="B617" s="26" t="s">
        <v>198</v>
      </c>
      <c r="C617" s="26" t="s">
        <v>473</v>
      </c>
      <c r="D617" s="27">
        <v>35822</v>
      </c>
      <c r="E617" s="27">
        <v>35830</v>
      </c>
      <c r="F617" s="26" t="s">
        <v>249</v>
      </c>
      <c r="G617" s="28">
        <v>188.067</v>
      </c>
      <c r="H617" s="29" t="s">
        <v>145</v>
      </c>
    </row>
    <row r="618" spans="1:8">
      <c r="A618" s="20">
        <v>10856</v>
      </c>
      <c r="B618" s="21" t="s">
        <v>179</v>
      </c>
      <c r="C618" s="21" t="s">
        <v>473</v>
      </c>
      <c r="D618" s="22">
        <v>35823</v>
      </c>
      <c r="E618" s="22">
        <v>35836</v>
      </c>
      <c r="F618" s="21" t="s">
        <v>136</v>
      </c>
      <c r="G618" s="23">
        <v>64.273</v>
      </c>
      <c r="H618" s="24" t="s">
        <v>165</v>
      </c>
    </row>
    <row r="619" spans="1:8">
      <c r="A619" s="25">
        <v>10857</v>
      </c>
      <c r="B619" s="26" t="s">
        <v>147</v>
      </c>
      <c r="C619" s="26" t="s">
        <v>476</v>
      </c>
      <c r="D619" s="27">
        <v>35823</v>
      </c>
      <c r="E619" s="27">
        <v>35832</v>
      </c>
      <c r="F619" s="26" t="s">
        <v>136</v>
      </c>
      <c r="G619" s="28">
        <v>207.735</v>
      </c>
      <c r="H619" s="29" t="s">
        <v>148</v>
      </c>
    </row>
    <row r="620" spans="1:8">
      <c r="A620" s="20">
        <v>10858</v>
      </c>
      <c r="B620" s="21" t="s">
        <v>239</v>
      </c>
      <c r="C620" s="21" t="s">
        <v>477</v>
      </c>
      <c r="D620" s="22">
        <v>35824</v>
      </c>
      <c r="E620" s="22">
        <v>35829</v>
      </c>
      <c r="F620" s="21" t="s">
        <v>249</v>
      </c>
      <c r="G620" s="23">
        <v>57.761</v>
      </c>
      <c r="H620" s="24" t="s">
        <v>154</v>
      </c>
    </row>
    <row r="621" spans="1:8">
      <c r="A621" s="25">
        <v>10859</v>
      </c>
      <c r="B621" s="26" t="s">
        <v>176</v>
      </c>
      <c r="C621" s="26" t="s">
        <v>475</v>
      </c>
      <c r="D621" s="27">
        <v>35824</v>
      </c>
      <c r="E621" s="27">
        <v>35828</v>
      </c>
      <c r="F621" s="26" t="s">
        <v>136</v>
      </c>
      <c r="G621" s="28">
        <v>83.71</v>
      </c>
      <c r="H621" s="29" t="s">
        <v>150</v>
      </c>
    </row>
    <row r="622" spans="1:8">
      <c r="A622" s="20">
        <v>10860</v>
      </c>
      <c r="B622" s="21" t="s">
        <v>238</v>
      </c>
      <c r="C622" s="21" t="s">
        <v>473</v>
      </c>
      <c r="D622" s="22">
        <v>35824</v>
      </c>
      <c r="E622" s="22">
        <v>35830</v>
      </c>
      <c r="F622" s="21" t="s">
        <v>243</v>
      </c>
      <c r="G622" s="23">
        <v>21.186</v>
      </c>
      <c r="H622" s="24" t="s">
        <v>154</v>
      </c>
    </row>
    <row r="623" spans="1:8">
      <c r="A623" s="25">
        <v>10861</v>
      </c>
      <c r="B623" s="26" t="s">
        <v>177</v>
      </c>
      <c r="C623" s="26" t="s">
        <v>472</v>
      </c>
      <c r="D623" s="27">
        <v>35825</v>
      </c>
      <c r="E623" s="27">
        <v>35843</v>
      </c>
      <c r="F623" s="26" t="s">
        <v>136</v>
      </c>
      <c r="G623" s="28">
        <v>16.423</v>
      </c>
      <c r="H623" s="29" t="s">
        <v>145</v>
      </c>
    </row>
    <row r="624" spans="1:8">
      <c r="A624" s="20">
        <v>10862</v>
      </c>
      <c r="B624" s="21" t="s">
        <v>149</v>
      </c>
      <c r="C624" s="21" t="s">
        <v>476</v>
      </c>
      <c r="D624" s="22">
        <v>35825</v>
      </c>
      <c r="E624" s="22">
        <v>35828</v>
      </c>
      <c r="F624" s="21" t="s">
        <v>136</v>
      </c>
      <c r="G624" s="23">
        <v>58.553</v>
      </c>
      <c r="H624" s="24" t="s">
        <v>150</v>
      </c>
    </row>
    <row r="625" spans="1:8">
      <c r="A625" s="25">
        <v>10863</v>
      </c>
      <c r="B625" s="26" t="s">
        <v>209</v>
      </c>
      <c r="C625" s="26" t="s">
        <v>472</v>
      </c>
      <c r="D625" s="27">
        <v>35828</v>
      </c>
      <c r="E625" s="27">
        <v>35843</v>
      </c>
      <c r="F625" s="26" t="s">
        <v>136</v>
      </c>
      <c r="G625" s="28">
        <v>33.286</v>
      </c>
      <c r="H625" s="29" t="s">
        <v>208</v>
      </c>
    </row>
    <row r="626" spans="1:8">
      <c r="A626" s="20">
        <v>10864</v>
      </c>
      <c r="B626" s="21" t="s">
        <v>201</v>
      </c>
      <c r="C626" s="21" t="s">
        <v>472</v>
      </c>
      <c r="D626" s="22">
        <v>35828</v>
      </c>
      <c r="E626" s="22">
        <v>35835</v>
      </c>
      <c r="F626" s="21" t="s">
        <v>136</v>
      </c>
      <c r="G626" s="23">
        <v>3.344</v>
      </c>
      <c r="H626" s="24" t="s">
        <v>169</v>
      </c>
    </row>
    <row r="627" spans="1:8">
      <c r="A627" s="25">
        <v>10865</v>
      </c>
      <c r="B627" s="26" t="s">
        <v>151</v>
      </c>
      <c r="C627" s="26" t="s">
        <v>477</v>
      </c>
      <c r="D627" s="27">
        <v>35828</v>
      </c>
      <c r="E627" s="27">
        <v>35838</v>
      </c>
      <c r="F627" s="26" t="s">
        <v>249</v>
      </c>
      <c r="G627" s="28">
        <v>382.954</v>
      </c>
      <c r="H627" s="29" t="s">
        <v>150</v>
      </c>
    </row>
    <row r="628" spans="1:8">
      <c r="A628" s="20">
        <v>10866</v>
      </c>
      <c r="B628" s="21" t="s">
        <v>147</v>
      </c>
      <c r="C628" s="21" t="s">
        <v>470</v>
      </c>
      <c r="D628" s="22">
        <v>35829</v>
      </c>
      <c r="E628" s="22">
        <v>35838</v>
      </c>
      <c r="F628" s="21" t="s">
        <v>249</v>
      </c>
      <c r="G628" s="23">
        <v>120.021</v>
      </c>
      <c r="H628" s="24" t="s">
        <v>148</v>
      </c>
    </row>
    <row r="629" spans="1:8">
      <c r="A629" s="25">
        <v>10867</v>
      </c>
      <c r="B629" s="26" t="s">
        <v>166</v>
      </c>
      <c r="C629" s="26" t="s">
        <v>471</v>
      </c>
      <c r="D629" s="27">
        <v>35829</v>
      </c>
      <c r="E629" s="27">
        <v>35837</v>
      </c>
      <c r="F629" s="26" t="s">
        <v>249</v>
      </c>
      <c r="G629" s="28">
        <v>2.123</v>
      </c>
      <c r="H629" s="29" t="s">
        <v>145</v>
      </c>
    </row>
    <row r="630" spans="1:8">
      <c r="A630" s="20">
        <v>10868</v>
      </c>
      <c r="B630" s="21" t="s">
        <v>184</v>
      </c>
      <c r="C630" s="21" t="s">
        <v>478</v>
      </c>
      <c r="D630" s="22">
        <v>35830</v>
      </c>
      <c r="E630" s="22">
        <v>35849</v>
      </c>
      <c r="F630" s="21" t="s">
        <v>136</v>
      </c>
      <c r="G630" s="23">
        <v>210.397</v>
      </c>
      <c r="H630" s="24" t="s">
        <v>137</v>
      </c>
    </row>
    <row r="631" spans="1:8">
      <c r="A631" s="25">
        <v>10869</v>
      </c>
      <c r="B631" s="26" t="s">
        <v>214</v>
      </c>
      <c r="C631" s="26" t="s">
        <v>470</v>
      </c>
      <c r="D631" s="27">
        <v>35830</v>
      </c>
      <c r="E631" s="27">
        <v>35835</v>
      </c>
      <c r="F631" s="26" t="s">
        <v>249</v>
      </c>
      <c r="G631" s="28">
        <v>157.608</v>
      </c>
      <c r="H631" s="29" t="s">
        <v>169</v>
      </c>
    </row>
    <row r="632" spans="1:8">
      <c r="A632" s="20">
        <v>10870</v>
      </c>
      <c r="B632" s="21" t="s">
        <v>224</v>
      </c>
      <c r="C632" s="21" t="s">
        <v>470</v>
      </c>
      <c r="D632" s="22">
        <v>35830</v>
      </c>
      <c r="E632" s="22">
        <v>35839</v>
      </c>
      <c r="F632" s="21" t="s">
        <v>243</v>
      </c>
      <c r="G632" s="23">
        <v>13.244</v>
      </c>
      <c r="H632" s="24" t="s">
        <v>226</v>
      </c>
    </row>
    <row r="633" spans="1:8">
      <c r="A633" s="25">
        <v>10871</v>
      </c>
      <c r="B633" s="26" t="s">
        <v>204</v>
      </c>
      <c r="C633" s="26" t="s">
        <v>474</v>
      </c>
      <c r="D633" s="27">
        <v>35831</v>
      </c>
      <c r="E633" s="27">
        <v>35836</v>
      </c>
      <c r="F633" s="26" t="s">
        <v>136</v>
      </c>
      <c r="G633" s="28">
        <v>123.497</v>
      </c>
      <c r="H633" s="29" t="s">
        <v>154</v>
      </c>
    </row>
    <row r="634" spans="1:8">
      <c r="A634" s="20">
        <v>10872</v>
      </c>
      <c r="B634" s="21" t="s">
        <v>162</v>
      </c>
      <c r="C634" s="21" t="s">
        <v>470</v>
      </c>
      <c r="D634" s="22">
        <v>35831</v>
      </c>
      <c r="E634" s="22">
        <v>35835</v>
      </c>
      <c r="F634" s="21" t="s">
        <v>136</v>
      </c>
      <c r="G634" s="23">
        <v>192.852</v>
      </c>
      <c r="H634" s="24" t="s">
        <v>163</v>
      </c>
    </row>
    <row r="635" spans="1:8">
      <c r="A635" s="25">
        <v>10873</v>
      </c>
      <c r="B635" s="26" t="s">
        <v>242</v>
      </c>
      <c r="C635" s="26" t="s">
        <v>472</v>
      </c>
      <c r="D635" s="27">
        <v>35832</v>
      </c>
      <c r="E635" s="27">
        <v>35835</v>
      </c>
      <c r="F635" s="26" t="s">
        <v>249</v>
      </c>
      <c r="G635" s="28">
        <v>0.902</v>
      </c>
      <c r="H635" s="29" t="s">
        <v>191</v>
      </c>
    </row>
    <row r="636" spans="1:8">
      <c r="A636" s="20">
        <v>10874</v>
      </c>
      <c r="B636" s="21" t="s">
        <v>162</v>
      </c>
      <c r="C636" s="21" t="s">
        <v>470</v>
      </c>
      <c r="D636" s="22">
        <v>35832</v>
      </c>
      <c r="E636" s="22">
        <v>35837</v>
      </c>
      <c r="F636" s="21" t="s">
        <v>136</v>
      </c>
      <c r="G636" s="23">
        <v>21.538</v>
      </c>
      <c r="H636" s="24" t="s">
        <v>163</v>
      </c>
    </row>
    <row r="637" spans="1:8">
      <c r="A637" s="25">
        <v>10875</v>
      </c>
      <c r="B637" s="26" t="s">
        <v>147</v>
      </c>
      <c r="C637" s="26" t="s">
        <v>472</v>
      </c>
      <c r="D637" s="27">
        <v>35832</v>
      </c>
      <c r="E637" s="27">
        <v>35857</v>
      </c>
      <c r="F637" s="26" t="s">
        <v>136</v>
      </c>
      <c r="G637" s="28">
        <v>35.607</v>
      </c>
      <c r="H637" s="29" t="s">
        <v>148</v>
      </c>
    </row>
    <row r="638" spans="1:8">
      <c r="A638" s="20">
        <v>10876</v>
      </c>
      <c r="B638" s="21" t="s">
        <v>204</v>
      </c>
      <c r="C638" s="21" t="s">
        <v>478</v>
      </c>
      <c r="D638" s="22">
        <v>35835</v>
      </c>
      <c r="E638" s="22">
        <v>35838</v>
      </c>
      <c r="F638" s="21" t="s">
        <v>243</v>
      </c>
      <c r="G638" s="23">
        <v>66.462</v>
      </c>
      <c r="H638" s="24" t="s">
        <v>154</v>
      </c>
    </row>
    <row r="639" spans="1:8">
      <c r="A639" s="25">
        <v>10877</v>
      </c>
      <c r="B639" s="26" t="s">
        <v>158</v>
      </c>
      <c r="C639" s="26" t="s">
        <v>475</v>
      </c>
      <c r="D639" s="27">
        <v>35835</v>
      </c>
      <c r="E639" s="27">
        <v>35845</v>
      </c>
      <c r="F639" s="26" t="s">
        <v>249</v>
      </c>
      <c r="G639" s="28">
        <v>41.866</v>
      </c>
      <c r="H639" s="29" t="s">
        <v>137</v>
      </c>
    </row>
    <row r="640" spans="1:8">
      <c r="A640" s="20">
        <v>10878</v>
      </c>
      <c r="B640" s="21" t="s">
        <v>151</v>
      </c>
      <c r="C640" s="21" t="s">
        <v>472</v>
      </c>
      <c r="D640" s="22">
        <v>35836</v>
      </c>
      <c r="E640" s="22">
        <v>35838</v>
      </c>
      <c r="F640" s="21" t="s">
        <v>249</v>
      </c>
      <c r="G640" s="23">
        <v>51.359</v>
      </c>
      <c r="H640" s="24" t="s">
        <v>150</v>
      </c>
    </row>
    <row r="641" spans="1:8">
      <c r="A641" s="25">
        <v>10879</v>
      </c>
      <c r="B641" s="26" t="s">
        <v>242</v>
      </c>
      <c r="C641" s="26" t="s">
        <v>473</v>
      </c>
      <c r="D641" s="27">
        <v>35836</v>
      </c>
      <c r="E641" s="27">
        <v>35838</v>
      </c>
      <c r="F641" s="26" t="s">
        <v>243</v>
      </c>
      <c r="G641" s="28">
        <v>9.35</v>
      </c>
      <c r="H641" s="29" t="s">
        <v>191</v>
      </c>
    </row>
    <row r="642" spans="1:8">
      <c r="A642" s="20">
        <v>10880</v>
      </c>
      <c r="B642" s="21" t="s">
        <v>194</v>
      </c>
      <c r="C642" s="21" t="s">
        <v>478</v>
      </c>
      <c r="D642" s="22">
        <v>35836</v>
      </c>
      <c r="E642" s="22">
        <v>35844</v>
      </c>
      <c r="F642" s="21" t="s">
        <v>249</v>
      </c>
      <c r="G642" s="23">
        <v>96.811</v>
      </c>
      <c r="H642" s="24" t="s">
        <v>148</v>
      </c>
    </row>
    <row r="643" spans="1:8">
      <c r="A643" s="25">
        <v>10881</v>
      </c>
      <c r="B643" s="26" t="s">
        <v>213</v>
      </c>
      <c r="C643" s="26" t="s">
        <v>472</v>
      </c>
      <c r="D643" s="27">
        <v>35837</v>
      </c>
      <c r="E643" s="27">
        <v>35844</v>
      </c>
      <c r="F643" s="26" t="s">
        <v>249</v>
      </c>
      <c r="G643" s="28">
        <v>3.124</v>
      </c>
      <c r="H643" s="29" t="s">
        <v>200</v>
      </c>
    </row>
    <row r="644" spans="1:8">
      <c r="A644" s="20">
        <v>10882</v>
      </c>
      <c r="B644" s="21" t="s">
        <v>197</v>
      </c>
      <c r="C644" s="21" t="s">
        <v>472</v>
      </c>
      <c r="D644" s="22">
        <v>35837</v>
      </c>
      <c r="E644" s="22">
        <v>35846</v>
      </c>
      <c r="F644" s="21" t="s">
        <v>243</v>
      </c>
      <c r="G644" s="23">
        <v>25.41</v>
      </c>
      <c r="H644" s="24" t="s">
        <v>145</v>
      </c>
    </row>
    <row r="645" spans="1:8">
      <c r="A645" s="25">
        <v>10883</v>
      </c>
      <c r="B645" s="26" t="s">
        <v>166</v>
      </c>
      <c r="C645" s="26" t="s">
        <v>476</v>
      </c>
      <c r="D645" s="27">
        <v>35838</v>
      </c>
      <c r="E645" s="27">
        <v>35846</v>
      </c>
      <c r="F645" s="26" t="s">
        <v>243</v>
      </c>
      <c r="G645" s="28">
        <v>0.583</v>
      </c>
      <c r="H645" s="29" t="s">
        <v>145</v>
      </c>
    </row>
    <row r="646" spans="1:8">
      <c r="A646" s="20">
        <v>10884</v>
      </c>
      <c r="B646" s="21" t="s">
        <v>219</v>
      </c>
      <c r="C646" s="21" t="s">
        <v>472</v>
      </c>
      <c r="D646" s="22">
        <v>35838</v>
      </c>
      <c r="E646" s="22">
        <v>35839</v>
      </c>
      <c r="F646" s="21" t="s">
        <v>136</v>
      </c>
      <c r="G646" s="23">
        <v>100.067</v>
      </c>
      <c r="H646" s="24" t="s">
        <v>145</v>
      </c>
    </row>
    <row r="647" spans="1:8">
      <c r="A647" s="25">
        <v>10885</v>
      </c>
      <c r="B647" s="26" t="s">
        <v>138</v>
      </c>
      <c r="C647" s="26" t="s">
        <v>471</v>
      </c>
      <c r="D647" s="27">
        <v>35838</v>
      </c>
      <c r="E647" s="27">
        <v>35844</v>
      </c>
      <c r="F647" s="26" t="s">
        <v>243</v>
      </c>
      <c r="G647" s="28">
        <v>6.204</v>
      </c>
      <c r="H647" s="29" t="s">
        <v>139</v>
      </c>
    </row>
    <row r="648" spans="1:8">
      <c r="A648" s="20">
        <v>10886</v>
      </c>
      <c r="B648" s="21" t="s">
        <v>135</v>
      </c>
      <c r="C648" s="21" t="s">
        <v>475</v>
      </c>
      <c r="D648" s="22">
        <v>35839</v>
      </c>
      <c r="E648" s="22">
        <v>35856</v>
      </c>
      <c r="F648" s="21" t="s">
        <v>249</v>
      </c>
      <c r="G648" s="23">
        <v>5.489</v>
      </c>
      <c r="H648" s="24" t="s">
        <v>137</v>
      </c>
    </row>
    <row r="649" spans="1:8">
      <c r="A649" s="25">
        <v>10887</v>
      </c>
      <c r="B649" s="26" t="s">
        <v>180</v>
      </c>
      <c r="C649" s="26" t="s">
        <v>476</v>
      </c>
      <c r="D649" s="27">
        <v>35839</v>
      </c>
      <c r="E649" s="27">
        <v>35842</v>
      </c>
      <c r="F649" s="26" t="s">
        <v>243</v>
      </c>
      <c r="G649" s="28">
        <v>1.375</v>
      </c>
      <c r="H649" s="29" t="s">
        <v>163</v>
      </c>
    </row>
    <row r="650" spans="1:8">
      <c r="A650" s="20">
        <v>10888</v>
      </c>
      <c r="B650" s="21" t="s">
        <v>162</v>
      </c>
      <c r="C650" s="21" t="s">
        <v>475</v>
      </c>
      <c r="D650" s="22">
        <v>35842</v>
      </c>
      <c r="E650" s="22">
        <v>35849</v>
      </c>
      <c r="F650" s="21" t="s">
        <v>136</v>
      </c>
      <c r="G650" s="23">
        <v>57.057</v>
      </c>
      <c r="H650" s="24" t="s">
        <v>163</v>
      </c>
    </row>
    <row r="651" spans="1:8">
      <c r="A651" s="25">
        <v>10889</v>
      </c>
      <c r="B651" s="26" t="s">
        <v>146</v>
      </c>
      <c r="C651" s="26" t="s">
        <v>474</v>
      </c>
      <c r="D651" s="27">
        <v>35842</v>
      </c>
      <c r="E651" s="27">
        <v>35849</v>
      </c>
      <c r="F651" s="26" t="s">
        <v>243</v>
      </c>
      <c r="G651" s="28">
        <v>308.671</v>
      </c>
      <c r="H651" s="29" t="s">
        <v>145</v>
      </c>
    </row>
    <row r="652" spans="1:8">
      <c r="A652" s="20">
        <v>10890</v>
      </c>
      <c r="B652" s="21" t="s">
        <v>223</v>
      </c>
      <c r="C652" s="21" t="s">
        <v>478</v>
      </c>
      <c r="D652" s="22">
        <v>35842</v>
      </c>
      <c r="E652" s="22">
        <v>35844</v>
      </c>
      <c r="F652" s="21" t="s">
        <v>249</v>
      </c>
      <c r="G652" s="23">
        <v>36.036</v>
      </c>
      <c r="H652" s="24" t="s">
        <v>154</v>
      </c>
    </row>
    <row r="653" spans="1:8">
      <c r="A653" s="25">
        <v>10891</v>
      </c>
      <c r="B653" s="26" t="s">
        <v>149</v>
      </c>
      <c r="C653" s="26" t="s">
        <v>478</v>
      </c>
      <c r="D653" s="27">
        <v>35843</v>
      </c>
      <c r="E653" s="27">
        <v>35845</v>
      </c>
      <c r="F653" s="26" t="s">
        <v>136</v>
      </c>
      <c r="G653" s="28">
        <v>22.407</v>
      </c>
      <c r="H653" s="29" t="s">
        <v>150</v>
      </c>
    </row>
    <row r="654" spans="1:8">
      <c r="A654" s="20">
        <v>10892</v>
      </c>
      <c r="B654" s="21" t="s">
        <v>216</v>
      </c>
      <c r="C654" s="21" t="s">
        <v>472</v>
      </c>
      <c r="D654" s="22">
        <v>35843</v>
      </c>
      <c r="E654" s="22">
        <v>35845</v>
      </c>
      <c r="F654" s="21" t="s">
        <v>136</v>
      </c>
      <c r="G654" s="23">
        <v>132.297</v>
      </c>
      <c r="H654" s="24" t="s">
        <v>139</v>
      </c>
    </row>
    <row r="655" spans="1:8">
      <c r="A655" s="25">
        <v>10893</v>
      </c>
      <c r="B655" s="26" t="s">
        <v>202</v>
      </c>
      <c r="C655" s="26" t="s">
        <v>474</v>
      </c>
      <c r="D655" s="27">
        <v>35844</v>
      </c>
      <c r="E655" s="27">
        <v>35846</v>
      </c>
      <c r="F655" s="26" t="s">
        <v>136</v>
      </c>
      <c r="G655" s="28">
        <v>85.558</v>
      </c>
      <c r="H655" s="29" t="s">
        <v>150</v>
      </c>
    </row>
    <row r="656" spans="1:8">
      <c r="A656" s="20">
        <v>10894</v>
      </c>
      <c r="B656" s="21" t="s">
        <v>197</v>
      </c>
      <c r="C656" s="21" t="s">
        <v>475</v>
      </c>
      <c r="D656" s="22">
        <v>35844</v>
      </c>
      <c r="E656" s="22">
        <v>35846</v>
      </c>
      <c r="F656" s="21" t="s">
        <v>249</v>
      </c>
      <c r="G656" s="23">
        <v>127.743</v>
      </c>
      <c r="H656" s="24" t="s">
        <v>145</v>
      </c>
    </row>
    <row r="657" spans="1:8">
      <c r="A657" s="25">
        <v>10895</v>
      </c>
      <c r="B657" s="26" t="s">
        <v>182</v>
      </c>
      <c r="C657" s="26" t="s">
        <v>473</v>
      </c>
      <c r="D657" s="27">
        <v>35844</v>
      </c>
      <c r="E657" s="27">
        <v>35849</v>
      </c>
      <c r="F657" s="26" t="s">
        <v>249</v>
      </c>
      <c r="G657" s="28">
        <v>179.025</v>
      </c>
      <c r="H657" s="29" t="s">
        <v>183</v>
      </c>
    </row>
    <row r="658" spans="1:8">
      <c r="A658" s="20">
        <v>10896</v>
      </c>
      <c r="B658" s="21" t="s">
        <v>216</v>
      </c>
      <c r="C658" s="21" t="s">
        <v>478</v>
      </c>
      <c r="D658" s="22">
        <v>35845</v>
      </c>
      <c r="E658" s="22">
        <v>35853</v>
      </c>
      <c r="F658" s="21" t="s">
        <v>243</v>
      </c>
      <c r="G658" s="23">
        <v>35.695</v>
      </c>
      <c r="H658" s="24" t="s">
        <v>139</v>
      </c>
    </row>
    <row r="659" spans="1:8">
      <c r="A659" s="25">
        <v>10897</v>
      </c>
      <c r="B659" s="26" t="s">
        <v>156</v>
      </c>
      <c r="C659" s="26" t="s">
        <v>473</v>
      </c>
      <c r="D659" s="27">
        <v>35845</v>
      </c>
      <c r="E659" s="27">
        <v>35851</v>
      </c>
      <c r="F659" s="26" t="s">
        <v>136</v>
      </c>
      <c r="G659" s="28">
        <v>663.894</v>
      </c>
      <c r="H659" s="29" t="s">
        <v>157</v>
      </c>
    </row>
    <row r="660" spans="1:8">
      <c r="A660" s="20">
        <v>10898</v>
      </c>
      <c r="B660" s="21" t="s">
        <v>234</v>
      </c>
      <c r="C660" s="21" t="s">
        <v>472</v>
      </c>
      <c r="D660" s="22">
        <v>35846</v>
      </c>
      <c r="E660" s="22">
        <v>35860</v>
      </c>
      <c r="F660" s="21" t="s">
        <v>136</v>
      </c>
      <c r="G660" s="23">
        <v>1.397</v>
      </c>
      <c r="H660" s="24" t="s">
        <v>200</v>
      </c>
    </row>
    <row r="661" spans="1:8">
      <c r="A661" s="25">
        <v>10899</v>
      </c>
      <c r="B661" s="26" t="s">
        <v>211</v>
      </c>
      <c r="C661" s="26" t="s">
        <v>470</v>
      </c>
      <c r="D661" s="27">
        <v>35846</v>
      </c>
      <c r="E661" s="27">
        <v>35852</v>
      </c>
      <c r="F661" s="26" t="s">
        <v>243</v>
      </c>
      <c r="G661" s="28">
        <v>1.331</v>
      </c>
      <c r="H661" s="29" t="s">
        <v>208</v>
      </c>
    </row>
    <row r="662" spans="1:8">
      <c r="A662" s="20">
        <v>10900</v>
      </c>
      <c r="B662" s="21" t="s">
        <v>142</v>
      </c>
      <c r="C662" s="21" t="s">
        <v>475</v>
      </c>
      <c r="D662" s="22">
        <v>35846</v>
      </c>
      <c r="E662" s="22">
        <v>35858</v>
      </c>
      <c r="F662" s="21" t="s">
        <v>136</v>
      </c>
      <c r="G662" s="23">
        <v>1.826</v>
      </c>
      <c r="H662" s="24" t="s">
        <v>137</v>
      </c>
    </row>
    <row r="663" spans="1:8">
      <c r="A663" s="25">
        <v>10901</v>
      </c>
      <c r="B663" s="26" t="s">
        <v>209</v>
      </c>
      <c r="C663" s="26" t="s">
        <v>472</v>
      </c>
      <c r="D663" s="27">
        <v>35849</v>
      </c>
      <c r="E663" s="27">
        <v>35852</v>
      </c>
      <c r="F663" s="26" t="s">
        <v>249</v>
      </c>
      <c r="G663" s="28">
        <v>68.299</v>
      </c>
      <c r="H663" s="29" t="s">
        <v>208</v>
      </c>
    </row>
    <row r="664" spans="1:8">
      <c r="A664" s="20">
        <v>10902</v>
      </c>
      <c r="B664" s="21" t="s">
        <v>194</v>
      </c>
      <c r="C664" s="21" t="s">
        <v>475</v>
      </c>
      <c r="D664" s="22">
        <v>35849</v>
      </c>
      <c r="E664" s="22">
        <v>35857</v>
      </c>
      <c r="F664" s="21" t="s">
        <v>249</v>
      </c>
      <c r="G664" s="23">
        <v>48.565</v>
      </c>
      <c r="H664" s="24" t="s">
        <v>148</v>
      </c>
    </row>
    <row r="665" spans="1:8">
      <c r="A665" s="25">
        <v>10903</v>
      </c>
      <c r="B665" s="26" t="s">
        <v>135</v>
      </c>
      <c r="C665" s="26" t="s">
        <v>473</v>
      </c>
      <c r="D665" s="27">
        <v>35850</v>
      </c>
      <c r="E665" s="27">
        <v>35858</v>
      </c>
      <c r="F665" s="26" t="s">
        <v>243</v>
      </c>
      <c r="G665" s="28">
        <v>40.381</v>
      </c>
      <c r="H665" s="29" t="s">
        <v>137</v>
      </c>
    </row>
    <row r="666" spans="1:8">
      <c r="A666" s="20">
        <v>10904</v>
      </c>
      <c r="B666" s="21" t="s">
        <v>177</v>
      </c>
      <c r="C666" s="21" t="s">
        <v>473</v>
      </c>
      <c r="D666" s="22">
        <v>35850</v>
      </c>
      <c r="E666" s="22">
        <v>35853</v>
      </c>
      <c r="F666" s="21" t="s">
        <v>243</v>
      </c>
      <c r="G666" s="23">
        <v>179.245</v>
      </c>
      <c r="H666" s="24" t="s">
        <v>145</v>
      </c>
    </row>
    <row r="667" spans="1:8">
      <c r="A667" s="25">
        <v>10905</v>
      </c>
      <c r="B667" s="26" t="s">
        <v>142</v>
      </c>
      <c r="C667" s="26" t="s">
        <v>474</v>
      </c>
      <c r="D667" s="27">
        <v>35850</v>
      </c>
      <c r="E667" s="27">
        <v>35860</v>
      </c>
      <c r="F667" s="26" t="s">
        <v>136</v>
      </c>
      <c r="G667" s="28">
        <v>15.092</v>
      </c>
      <c r="H667" s="29" t="s">
        <v>137</v>
      </c>
    </row>
    <row r="668" spans="1:8">
      <c r="A668" s="20">
        <v>10906</v>
      </c>
      <c r="B668" s="21" t="s">
        <v>224</v>
      </c>
      <c r="C668" s="21" t="s">
        <v>472</v>
      </c>
      <c r="D668" s="22">
        <v>35851</v>
      </c>
      <c r="E668" s="22">
        <v>35857</v>
      </c>
      <c r="F668" s="21" t="s">
        <v>243</v>
      </c>
      <c r="G668" s="23">
        <v>28.919</v>
      </c>
      <c r="H668" s="24" t="s">
        <v>226</v>
      </c>
    </row>
    <row r="669" spans="1:8">
      <c r="A669" s="25">
        <v>10907</v>
      </c>
      <c r="B669" s="26" t="s">
        <v>237</v>
      </c>
      <c r="C669" s="26" t="s">
        <v>471</v>
      </c>
      <c r="D669" s="27">
        <v>35851</v>
      </c>
      <c r="E669" s="27">
        <v>35853</v>
      </c>
      <c r="F669" s="26" t="s">
        <v>243</v>
      </c>
      <c r="G669" s="28">
        <v>10.109</v>
      </c>
      <c r="H669" s="29" t="s">
        <v>154</v>
      </c>
    </row>
    <row r="670" spans="1:8">
      <c r="A670" s="20">
        <v>10908</v>
      </c>
      <c r="B670" s="21" t="s">
        <v>229</v>
      </c>
      <c r="C670" s="21" t="s">
        <v>472</v>
      </c>
      <c r="D670" s="22">
        <v>35852</v>
      </c>
      <c r="E670" s="22">
        <v>35860</v>
      </c>
      <c r="F670" s="21" t="s">
        <v>136</v>
      </c>
      <c r="G670" s="23">
        <v>36.256</v>
      </c>
      <c r="H670" s="24" t="s">
        <v>160</v>
      </c>
    </row>
    <row r="671" spans="1:8">
      <c r="A671" s="25">
        <v>10909</v>
      </c>
      <c r="B671" s="26" t="s">
        <v>186</v>
      </c>
      <c r="C671" s="26" t="s">
        <v>475</v>
      </c>
      <c r="D671" s="27">
        <v>35852</v>
      </c>
      <c r="E671" s="27">
        <v>35864</v>
      </c>
      <c r="F671" s="26" t="s">
        <v>136</v>
      </c>
      <c r="G671" s="28">
        <v>58.355</v>
      </c>
      <c r="H671" s="29" t="s">
        <v>187</v>
      </c>
    </row>
    <row r="672" spans="1:8">
      <c r="A672" s="20">
        <v>10910</v>
      </c>
      <c r="B672" s="21" t="s">
        <v>242</v>
      </c>
      <c r="C672" s="21" t="s">
        <v>475</v>
      </c>
      <c r="D672" s="22">
        <v>35852</v>
      </c>
      <c r="E672" s="22">
        <v>35858</v>
      </c>
      <c r="F672" s="21" t="s">
        <v>243</v>
      </c>
      <c r="G672" s="23">
        <v>41.921</v>
      </c>
      <c r="H672" s="24" t="s">
        <v>191</v>
      </c>
    </row>
    <row r="673" spans="1:8">
      <c r="A673" s="25">
        <v>10911</v>
      </c>
      <c r="B673" s="26" t="s">
        <v>162</v>
      </c>
      <c r="C673" s="26" t="s">
        <v>473</v>
      </c>
      <c r="D673" s="27">
        <v>35852</v>
      </c>
      <c r="E673" s="27">
        <v>35859</v>
      </c>
      <c r="F673" s="26" t="s">
        <v>249</v>
      </c>
      <c r="G673" s="28">
        <v>42.009</v>
      </c>
      <c r="H673" s="29" t="s">
        <v>163</v>
      </c>
    </row>
    <row r="674" spans="1:8">
      <c r="A674" s="20">
        <v>10912</v>
      </c>
      <c r="B674" s="21" t="s">
        <v>156</v>
      </c>
      <c r="C674" s="21" t="s">
        <v>477</v>
      </c>
      <c r="D674" s="22">
        <v>35852</v>
      </c>
      <c r="E674" s="22">
        <v>35872</v>
      </c>
      <c r="F674" s="21" t="s">
        <v>136</v>
      </c>
      <c r="G674" s="23">
        <v>639.001</v>
      </c>
      <c r="H674" s="24" t="s">
        <v>157</v>
      </c>
    </row>
    <row r="675" spans="1:8">
      <c r="A675" s="25">
        <v>10913</v>
      </c>
      <c r="B675" s="26" t="s">
        <v>184</v>
      </c>
      <c r="C675" s="26" t="s">
        <v>472</v>
      </c>
      <c r="D675" s="27">
        <v>35852</v>
      </c>
      <c r="E675" s="27">
        <v>35858</v>
      </c>
      <c r="F675" s="26" t="s">
        <v>249</v>
      </c>
      <c r="G675" s="28">
        <v>36.355</v>
      </c>
      <c r="H675" s="29" t="s">
        <v>137</v>
      </c>
    </row>
    <row r="676" spans="1:8">
      <c r="A676" s="20">
        <v>10914</v>
      </c>
      <c r="B676" s="21" t="s">
        <v>184</v>
      </c>
      <c r="C676" s="21" t="s">
        <v>471</v>
      </c>
      <c r="D676" s="22">
        <v>35853</v>
      </c>
      <c r="E676" s="22">
        <v>35856</v>
      </c>
      <c r="F676" s="21" t="s">
        <v>249</v>
      </c>
      <c r="G676" s="23">
        <v>23.309</v>
      </c>
      <c r="H676" s="24" t="s">
        <v>137</v>
      </c>
    </row>
    <row r="677" spans="1:8">
      <c r="A677" s="25">
        <v>10915</v>
      </c>
      <c r="B677" s="26" t="s">
        <v>164</v>
      </c>
      <c r="C677" s="26" t="s">
        <v>477</v>
      </c>
      <c r="D677" s="27">
        <v>35853</v>
      </c>
      <c r="E677" s="27">
        <v>35856</v>
      </c>
      <c r="F677" s="26" t="s">
        <v>136</v>
      </c>
      <c r="G677" s="28">
        <v>3.861</v>
      </c>
      <c r="H677" s="29" t="s">
        <v>165</v>
      </c>
    </row>
    <row r="678" spans="1:8">
      <c r="A678" s="20">
        <v>10916</v>
      </c>
      <c r="B678" s="21" t="s">
        <v>199</v>
      </c>
      <c r="C678" s="21" t="s">
        <v>475</v>
      </c>
      <c r="D678" s="22">
        <v>35853</v>
      </c>
      <c r="E678" s="22">
        <v>35863</v>
      </c>
      <c r="F678" s="21" t="s">
        <v>136</v>
      </c>
      <c r="G678" s="23">
        <v>70.147</v>
      </c>
      <c r="H678" s="24" t="s">
        <v>200</v>
      </c>
    </row>
    <row r="679" spans="1:8">
      <c r="A679" s="25">
        <v>10917</v>
      </c>
      <c r="B679" s="26" t="s">
        <v>235</v>
      </c>
      <c r="C679" s="26" t="s">
        <v>472</v>
      </c>
      <c r="D679" s="27">
        <v>35856</v>
      </c>
      <c r="E679" s="27">
        <v>35865</v>
      </c>
      <c r="F679" s="26" t="s">
        <v>136</v>
      </c>
      <c r="G679" s="28">
        <v>9.119</v>
      </c>
      <c r="H679" s="29" t="s">
        <v>163</v>
      </c>
    </row>
    <row r="680" spans="1:8">
      <c r="A680" s="20">
        <v>10918</v>
      </c>
      <c r="B680" s="21" t="s">
        <v>188</v>
      </c>
      <c r="C680" s="21" t="s">
        <v>473</v>
      </c>
      <c r="D680" s="22">
        <v>35856</v>
      </c>
      <c r="E680" s="22">
        <v>35865</v>
      </c>
      <c r="F680" s="21" t="s">
        <v>243</v>
      </c>
      <c r="G680" s="23">
        <v>53.713</v>
      </c>
      <c r="H680" s="24" t="s">
        <v>172</v>
      </c>
    </row>
    <row r="681" spans="1:8">
      <c r="A681" s="25">
        <v>10919</v>
      </c>
      <c r="B681" s="26" t="s">
        <v>207</v>
      </c>
      <c r="C681" s="26" t="s">
        <v>477</v>
      </c>
      <c r="D681" s="27">
        <v>35856</v>
      </c>
      <c r="E681" s="27">
        <v>35858</v>
      </c>
      <c r="F681" s="26" t="s">
        <v>136</v>
      </c>
      <c r="G681" s="28">
        <v>21.78</v>
      </c>
      <c r="H681" s="29" t="s">
        <v>208</v>
      </c>
    </row>
    <row r="682" spans="1:8">
      <c r="A682" s="20">
        <v>10920</v>
      </c>
      <c r="B682" s="21" t="s">
        <v>201</v>
      </c>
      <c r="C682" s="21" t="s">
        <v>472</v>
      </c>
      <c r="D682" s="22">
        <v>35857</v>
      </c>
      <c r="E682" s="22">
        <v>35863</v>
      </c>
      <c r="F682" s="21" t="s">
        <v>136</v>
      </c>
      <c r="G682" s="23">
        <v>32.571</v>
      </c>
      <c r="H682" s="24" t="s">
        <v>169</v>
      </c>
    </row>
    <row r="683" spans="1:8">
      <c r="A683" s="25">
        <v>10921</v>
      </c>
      <c r="B683" s="26" t="s">
        <v>221</v>
      </c>
      <c r="C683" s="26" t="s">
        <v>475</v>
      </c>
      <c r="D683" s="27">
        <v>35857</v>
      </c>
      <c r="E683" s="27">
        <v>35863</v>
      </c>
      <c r="F683" s="26" t="s">
        <v>249</v>
      </c>
      <c r="G683" s="28">
        <v>194.128</v>
      </c>
      <c r="H683" s="29" t="s">
        <v>222</v>
      </c>
    </row>
    <row r="684" spans="1:8">
      <c r="A684" s="20">
        <v>10922</v>
      </c>
      <c r="B684" s="21" t="s">
        <v>135</v>
      </c>
      <c r="C684" s="21" t="s">
        <v>470</v>
      </c>
      <c r="D684" s="22">
        <v>35857</v>
      </c>
      <c r="E684" s="22">
        <v>35859</v>
      </c>
      <c r="F684" s="21" t="s">
        <v>243</v>
      </c>
      <c r="G684" s="23">
        <v>69.014</v>
      </c>
      <c r="H684" s="24" t="s">
        <v>137</v>
      </c>
    </row>
    <row r="685" spans="1:8">
      <c r="A685" s="25">
        <v>10923</v>
      </c>
      <c r="B685" s="26" t="s">
        <v>178</v>
      </c>
      <c r="C685" s="26" t="s">
        <v>478</v>
      </c>
      <c r="D685" s="27">
        <v>35857</v>
      </c>
      <c r="E685" s="27">
        <v>35867</v>
      </c>
      <c r="F685" s="26" t="s">
        <v>243</v>
      </c>
      <c r="G685" s="28">
        <v>75.086</v>
      </c>
      <c r="H685" s="29" t="s">
        <v>154</v>
      </c>
    </row>
    <row r="686" spans="1:8">
      <c r="A686" s="20">
        <v>10924</v>
      </c>
      <c r="B686" s="21" t="s">
        <v>147</v>
      </c>
      <c r="C686" s="21" t="s">
        <v>473</v>
      </c>
      <c r="D686" s="22">
        <v>35858</v>
      </c>
      <c r="E686" s="22">
        <v>35893</v>
      </c>
      <c r="F686" s="21" t="s">
        <v>136</v>
      </c>
      <c r="G686" s="23">
        <v>166.672</v>
      </c>
      <c r="H686" s="24" t="s">
        <v>148</v>
      </c>
    </row>
    <row r="687" spans="1:8">
      <c r="A687" s="25">
        <v>10925</v>
      </c>
      <c r="B687" s="26" t="s">
        <v>135</v>
      </c>
      <c r="C687" s="26" t="s">
        <v>473</v>
      </c>
      <c r="D687" s="27">
        <v>35858</v>
      </c>
      <c r="E687" s="27">
        <v>35867</v>
      </c>
      <c r="F687" s="26" t="s">
        <v>249</v>
      </c>
      <c r="G687" s="28">
        <v>2.497</v>
      </c>
      <c r="H687" s="29" t="s">
        <v>137</v>
      </c>
    </row>
    <row r="688" spans="1:8">
      <c r="A688" s="20">
        <v>10926</v>
      </c>
      <c r="B688" s="21" t="s">
        <v>246</v>
      </c>
      <c r="C688" s="21" t="s">
        <v>472</v>
      </c>
      <c r="D688" s="22">
        <v>35858</v>
      </c>
      <c r="E688" s="22">
        <v>35865</v>
      </c>
      <c r="F688" s="21" t="s">
        <v>243</v>
      </c>
      <c r="G688" s="23">
        <v>43.912</v>
      </c>
      <c r="H688" s="24" t="s">
        <v>165</v>
      </c>
    </row>
    <row r="689" spans="1:8">
      <c r="A689" s="25">
        <v>10927</v>
      </c>
      <c r="B689" s="26" t="s">
        <v>239</v>
      </c>
      <c r="C689" s="26" t="s">
        <v>472</v>
      </c>
      <c r="D689" s="27">
        <v>35859</v>
      </c>
      <c r="E689" s="27">
        <v>35893</v>
      </c>
      <c r="F689" s="26" t="s">
        <v>249</v>
      </c>
      <c r="G689" s="28">
        <v>21.769</v>
      </c>
      <c r="H689" s="29" t="s">
        <v>154</v>
      </c>
    </row>
    <row r="690" spans="1:8">
      <c r="A690" s="20">
        <v>10928</v>
      </c>
      <c r="B690" s="21" t="s">
        <v>180</v>
      </c>
      <c r="C690" s="21" t="s">
        <v>475</v>
      </c>
      <c r="D690" s="22">
        <v>35859</v>
      </c>
      <c r="E690" s="22">
        <v>35872</v>
      </c>
      <c r="F690" s="21" t="s">
        <v>249</v>
      </c>
      <c r="G690" s="23">
        <v>1.496</v>
      </c>
      <c r="H690" s="24" t="s">
        <v>163</v>
      </c>
    </row>
    <row r="691" spans="1:8">
      <c r="A691" s="25">
        <v>10929</v>
      </c>
      <c r="B691" s="26" t="s">
        <v>176</v>
      </c>
      <c r="C691" s="26" t="s">
        <v>471</v>
      </c>
      <c r="D691" s="27">
        <v>35859</v>
      </c>
      <c r="E691" s="27">
        <v>35866</v>
      </c>
      <c r="F691" s="26" t="s">
        <v>249</v>
      </c>
      <c r="G691" s="28">
        <v>37.323</v>
      </c>
      <c r="H691" s="29" t="s">
        <v>150</v>
      </c>
    </row>
    <row r="692" spans="1:8">
      <c r="A692" s="20">
        <v>10930</v>
      </c>
      <c r="B692" s="21" t="s">
        <v>138</v>
      </c>
      <c r="C692" s="21" t="s">
        <v>472</v>
      </c>
      <c r="D692" s="22">
        <v>35860</v>
      </c>
      <c r="E692" s="22">
        <v>35872</v>
      </c>
      <c r="F692" s="21" t="s">
        <v>243</v>
      </c>
      <c r="G692" s="23">
        <v>17.105</v>
      </c>
      <c r="H692" s="24" t="s">
        <v>139</v>
      </c>
    </row>
    <row r="693" spans="1:8">
      <c r="A693" s="25">
        <v>10931</v>
      </c>
      <c r="B693" s="26" t="s">
        <v>192</v>
      </c>
      <c r="C693" s="26" t="s">
        <v>472</v>
      </c>
      <c r="D693" s="27">
        <v>35860</v>
      </c>
      <c r="E693" s="27">
        <v>35873</v>
      </c>
      <c r="F693" s="26" t="s">
        <v>136</v>
      </c>
      <c r="G693" s="28">
        <v>14.96</v>
      </c>
      <c r="H693" s="29" t="s">
        <v>141</v>
      </c>
    </row>
    <row r="694" spans="1:8">
      <c r="A694" s="20">
        <v>10932</v>
      </c>
      <c r="B694" s="21" t="s">
        <v>204</v>
      </c>
      <c r="C694" s="21" t="s">
        <v>476</v>
      </c>
      <c r="D694" s="22">
        <v>35860</v>
      </c>
      <c r="E694" s="22">
        <v>35878</v>
      </c>
      <c r="F694" s="21" t="s">
        <v>249</v>
      </c>
      <c r="G694" s="23">
        <v>148.104</v>
      </c>
      <c r="H694" s="24" t="s">
        <v>154</v>
      </c>
    </row>
    <row r="695" spans="1:8">
      <c r="A695" s="25">
        <v>10933</v>
      </c>
      <c r="B695" s="26" t="s">
        <v>168</v>
      </c>
      <c r="C695" s="26" t="s">
        <v>471</v>
      </c>
      <c r="D695" s="27">
        <v>35860</v>
      </c>
      <c r="E695" s="27">
        <v>35870</v>
      </c>
      <c r="F695" s="26" t="s">
        <v>243</v>
      </c>
      <c r="G695" s="28">
        <v>59.565</v>
      </c>
      <c r="H695" s="29" t="s">
        <v>169</v>
      </c>
    </row>
    <row r="696" spans="1:8">
      <c r="A696" s="20">
        <v>10934</v>
      </c>
      <c r="B696" s="21" t="s">
        <v>149</v>
      </c>
      <c r="C696" s="21" t="s">
        <v>473</v>
      </c>
      <c r="D696" s="22">
        <v>35863</v>
      </c>
      <c r="E696" s="22">
        <v>35866</v>
      </c>
      <c r="F696" s="21" t="s">
        <v>243</v>
      </c>
      <c r="G696" s="23">
        <v>35.211</v>
      </c>
      <c r="H696" s="24" t="s">
        <v>150</v>
      </c>
    </row>
    <row r="697" spans="1:8">
      <c r="A697" s="25">
        <v>10935</v>
      </c>
      <c r="B697" s="26" t="s">
        <v>142</v>
      </c>
      <c r="C697" s="26" t="s">
        <v>472</v>
      </c>
      <c r="D697" s="27">
        <v>35863</v>
      </c>
      <c r="E697" s="27">
        <v>35872</v>
      </c>
      <c r="F697" s="26" t="s">
        <v>243</v>
      </c>
      <c r="G697" s="28">
        <v>52.349</v>
      </c>
      <c r="H697" s="29" t="s">
        <v>137</v>
      </c>
    </row>
    <row r="698" spans="1:8">
      <c r="A698" s="20">
        <v>10936</v>
      </c>
      <c r="B698" s="21" t="s">
        <v>215</v>
      </c>
      <c r="C698" s="21" t="s">
        <v>473</v>
      </c>
      <c r="D698" s="22">
        <v>35863</v>
      </c>
      <c r="E698" s="22">
        <v>35872</v>
      </c>
      <c r="F698" s="21" t="s">
        <v>136</v>
      </c>
      <c r="G698" s="23">
        <v>37.048</v>
      </c>
      <c r="H698" s="24" t="s">
        <v>145</v>
      </c>
    </row>
    <row r="699" spans="1:8">
      <c r="A699" s="25">
        <v>10937</v>
      </c>
      <c r="B699" s="26" t="s">
        <v>213</v>
      </c>
      <c r="C699" s="26" t="s">
        <v>478</v>
      </c>
      <c r="D699" s="27">
        <v>35864</v>
      </c>
      <c r="E699" s="27">
        <v>35867</v>
      </c>
      <c r="F699" s="26" t="s">
        <v>243</v>
      </c>
      <c r="G699" s="28">
        <v>34.661</v>
      </c>
      <c r="H699" s="29" t="s">
        <v>200</v>
      </c>
    </row>
    <row r="700" spans="1:8">
      <c r="A700" s="20">
        <v>10938</v>
      </c>
      <c r="B700" s="21" t="s">
        <v>151</v>
      </c>
      <c r="C700" s="21" t="s">
        <v>473</v>
      </c>
      <c r="D700" s="22">
        <v>35864</v>
      </c>
      <c r="E700" s="22">
        <v>35870</v>
      </c>
      <c r="F700" s="21" t="s">
        <v>136</v>
      </c>
      <c r="G700" s="23">
        <v>35.079</v>
      </c>
      <c r="H700" s="24" t="s">
        <v>150</v>
      </c>
    </row>
    <row r="701" spans="1:8">
      <c r="A701" s="25">
        <v>10939</v>
      </c>
      <c r="B701" s="26" t="s">
        <v>159</v>
      </c>
      <c r="C701" s="26" t="s">
        <v>477</v>
      </c>
      <c r="D701" s="27">
        <v>35864</v>
      </c>
      <c r="E701" s="27">
        <v>35867</v>
      </c>
      <c r="F701" s="26" t="s">
        <v>136</v>
      </c>
      <c r="G701" s="28">
        <v>83.963</v>
      </c>
      <c r="H701" s="29" t="s">
        <v>160</v>
      </c>
    </row>
    <row r="702" spans="1:8">
      <c r="A702" s="20">
        <v>10940</v>
      </c>
      <c r="B702" s="21" t="s">
        <v>204</v>
      </c>
      <c r="C702" s="21" t="s">
        <v>476</v>
      </c>
      <c r="D702" s="22">
        <v>35865</v>
      </c>
      <c r="E702" s="22">
        <v>35877</v>
      </c>
      <c r="F702" s="21" t="s">
        <v>243</v>
      </c>
      <c r="G702" s="23">
        <v>21.747</v>
      </c>
      <c r="H702" s="24" t="s">
        <v>154</v>
      </c>
    </row>
    <row r="703" spans="1:8">
      <c r="A703" s="25">
        <v>10941</v>
      </c>
      <c r="B703" s="26" t="s">
        <v>197</v>
      </c>
      <c r="C703" s="26" t="s">
        <v>478</v>
      </c>
      <c r="D703" s="27">
        <v>35865</v>
      </c>
      <c r="E703" s="27">
        <v>35874</v>
      </c>
      <c r="F703" s="26" t="s">
        <v>136</v>
      </c>
      <c r="G703" s="28">
        <v>440.891</v>
      </c>
      <c r="H703" s="29" t="s">
        <v>145</v>
      </c>
    </row>
    <row r="704" spans="1:8">
      <c r="A704" s="20">
        <v>10942</v>
      </c>
      <c r="B704" s="21" t="s">
        <v>229</v>
      </c>
      <c r="C704" s="21" t="s">
        <v>474</v>
      </c>
      <c r="D704" s="22">
        <v>35865</v>
      </c>
      <c r="E704" s="22">
        <v>35872</v>
      </c>
      <c r="F704" s="21" t="s">
        <v>243</v>
      </c>
      <c r="G704" s="23">
        <v>19.745</v>
      </c>
      <c r="H704" s="24" t="s">
        <v>160</v>
      </c>
    </row>
    <row r="705" spans="1:8">
      <c r="A705" s="25">
        <v>10943</v>
      </c>
      <c r="B705" s="26" t="s">
        <v>236</v>
      </c>
      <c r="C705" s="26" t="s">
        <v>472</v>
      </c>
      <c r="D705" s="27">
        <v>35865</v>
      </c>
      <c r="E705" s="27">
        <v>35873</v>
      </c>
      <c r="F705" s="26" t="s">
        <v>136</v>
      </c>
      <c r="G705" s="28">
        <v>2.387</v>
      </c>
      <c r="H705" s="29" t="s">
        <v>169</v>
      </c>
    </row>
    <row r="706" spans="1:8">
      <c r="A706" s="20">
        <v>10944</v>
      </c>
      <c r="B706" s="21" t="s">
        <v>188</v>
      </c>
      <c r="C706" s="21" t="s">
        <v>471</v>
      </c>
      <c r="D706" s="22">
        <v>35866</v>
      </c>
      <c r="E706" s="22">
        <v>35867</v>
      </c>
      <c r="F706" s="21" t="s">
        <v>243</v>
      </c>
      <c r="G706" s="23">
        <v>58.212</v>
      </c>
      <c r="H706" s="24" t="s">
        <v>172</v>
      </c>
    </row>
    <row r="707" spans="1:8">
      <c r="A707" s="25">
        <v>10945</v>
      </c>
      <c r="B707" s="26" t="s">
        <v>231</v>
      </c>
      <c r="C707" s="26" t="s">
        <v>472</v>
      </c>
      <c r="D707" s="27">
        <v>35866</v>
      </c>
      <c r="E707" s="27">
        <v>35872</v>
      </c>
      <c r="F707" s="26" t="s">
        <v>249</v>
      </c>
      <c r="G707" s="28">
        <v>11.242</v>
      </c>
      <c r="H707" s="29" t="s">
        <v>150</v>
      </c>
    </row>
    <row r="708" spans="1:8">
      <c r="A708" s="20">
        <v>10946</v>
      </c>
      <c r="B708" s="21" t="s">
        <v>221</v>
      </c>
      <c r="C708" s="21" t="s">
        <v>475</v>
      </c>
      <c r="D708" s="22">
        <v>35866</v>
      </c>
      <c r="E708" s="22">
        <v>35873</v>
      </c>
      <c r="F708" s="21" t="s">
        <v>136</v>
      </c>
      <c r="G708" s="23">
        <v>29.92</v>
      </c>
      <c r="H708" s="24" t="s">
        <v>222</v>
      </c>
    </row>
    <row r="709" spans="1:8">
      <c r="A709" s="25">
        <v>10947</v>
      </c>
      <c r="B709" s="26" t="s">
        <v>236</v>
      </c>
      <c r="C709" s="26" t="s">
        <v>473</v>
      </c>
      <c r="D709" s="27">
        <v>35867</v>
      </c>
      <c r="E709" s="27">
        <v>35870</v>
      </c>
      <c r="F709" s="26" t="s">
        <v>136</v>
      </c>
      <c r="G709" s="28">
        <v>3.586</v>
      </c>
      <c r="H709" s="29" t="s">
        <v>169</v>
      </c>
    </row>
    <row r="710" spans="1:8">
      <c r="A710" s="20">
        <v>10948</v>
      </c>
      <c r="B710" s="21" t="s">
        <v>162</v>
      </c>
      <c r="C710" s="21" t="s">
        <v>473</v>
      </c>
      <c r="D710" s="22">
        <v>35867</v>
      </c>
      <c r="E710" s="22">
        <v>35873</v>
      </c>
      <c r="F710" s="21" t="s">
        <v>243</v>
      </c>
      <c r="G710" s="23">
        <v>25.729</v>
      </c>
      <c r="H710" s="24" t="s">
        <v>163</v>
      </c>
    </row>
    <row r="711" spans="1:8">
      <c r="A711" s="25">
        <v>10949</v>
      </c>
      <c r="B711" s="26" t="s">
        <v>188</v>
      </c>
      <c r="C711" s="26" t="s">
        <v>477</v>
      </c>
      <c r="D711" s="27">
        <v>35867</v>
      </c>
      <c r="E711" s="27">
        <v>35871</v>
      </c>
      <c r="F711" s="26" t="s">
        <v>243</v>
      </c>
      <c r="G711" s="28">
        <v>81.884</v>
      </c>
      <c r="H711" s="29" t="s">
        <v>172</v>
      </c>
    </row>
    <row r="712" spans="1:8">
      <c r="A712" s="20">
        <v>10950</v>
      </c>
      <c r="B712" s="21" t="s">
        <v>159</v>
      </c>
      <c r="C712" s="21" t="s">
        <v>475</v>
      </c>
      <c r="D712" s="22">
        <v>35870</v>
      </c>
      <c r="E712" s="22">
        <v>35877</v>
      </c>
      <c r="F712" s="21" t="s">
        <v>136</v>
      </c>
      <c r="G712" s="23">
        <v>2.75</v>
      </c>
      <c r="H712" s="24" t="s">
        <v>160</v>
      </c>
    </row>
    <row r="713" spans="1:8">
      <c r="A713" s="25">
        <v>10951</v>
      </c>
      <c r="B713" s="26" t="s">
        <v>192</v>
      </c>
      <c r="C713" s="26" t="s">
        <v>474</v>
      </c>
      <c r="D713" s="27">
        <v>35870</v>
      </c>
      <c r="E713" s="27">
        <v>35892</v>
      </c>
      <c r="F713" s="26" t="s">
        <v>136</v>
      </c>
      <c r="G713" s="28">
        <v>33.935</v>
      </c>
      <c r="H713" s="29" t="s">
        <v>141</v>
      </c>
    </row>
    <row r="714" spans="1:8">
      <c r="A714" s="20">
        <v>10952</v>
      </c>
      <c r="B714" s="21" t="s">
        <v>230</v>
      </c>
      <c r="C714" s="21" t="s">
        <v>475</v>
      </c>
      <c r="D714" s="22">
        <v>35870</v>
      </c>
      <c r="E714" s="22">
        <v>35878</v>
      </c>
      <c r="F714" s="21" t="s">
        <v>249</v>
      </c>
      <c r="G714" s="23">
        <v>44.462</v>
      </c>
      <c r="H714" s="24" t="s">
        <v>150</v>
      </c>
    </row>
    <row r="715" spans="1:8">
      <c r="A715" s="25">
        <v>10953</v>
      </c>
      <c r="B715" s="26" t="s">
        <v>201</v>
      </c>
      <c r="C715" s="26" t="s">
        <v>474</v>
      </c>
      <c r="D715" s="27">
        <v>35870</v>
      </c>
      <c r="E715" s="27">
        <v>35879</v>
      </c>
      <c r="F715" s="26" t="s">
        <v>136</v>
      </c>
      <c r="G715" s="28">
        <v>26.092</v>
      </c>
      <c r="H715" s="29" t="s">
        <v>169</v>
      </c>
    </row>
    <row r="716" spans="1:8">
      <c r="A716" s="20">
        <v>10954</v>
      </c>
      <c r="B716" s="21" t="s">
        <v>207</v>
      </c>
      <c r="C716" s="21" t="s">
        <v>470</v>
      </c>
      <c r="D716" s="22">
        <v>35871</v>
      </c>
      <c r="E716" s="22">
        <v>35874</v>
      </c>
      <c r="F716" s="21" t="s">
        <v>249</v>
      </c>
      <c r="G716" s="23">
        <v>30.701</v>
      </c>
      <c r="H716" s="24" t="s">
        <v>208</v>
      </c>
    </row>
    <row r="717" spans="1:8">
      <c r="A717" s="25">
        <v>10955</v>
      </c>
      <c r="B717" s="26" t="s">
        <v>194</v>
      </c>
      <c r="C717" s="26" t="s">
        <v>476</v>
      </c>
      <c r="D717" s="27">
        <v>35871</v>
      </c>
      <c r="E717" s="27">
        <v>35874</v>
      </c>
      <c r="F717" s="26" t="s">
        <v>136</v>
      </c>
      <c r="G717" s="28">
        <v>3.586</v>
      </c>
      <c r="H717" s="29" t="s">
        <v>148</v>
      </c>
    </row>
    <row r="718" spans="1:8">
      <c r="A718" s="20">
        <v>10956</v>
      </c>
      <c r="B718" s="21" t="s">
        <v>220</v>
      </c>
      <c r="C718" s="21" t="s">
        <v>471</v>
      </c>
      <c r="D718" s="22">
        <v>35871</v>
      </c>
      <c r="E718" s="22">
        <v>35874</v>
      </c>
      <c r="F718" s="21" t="s">
        <v>136</v>
      </c>
      <c r="G718" s="23">
        <v>49.115</v>
      </c>
      <c r="H718" s="24" t="s">
        <v>150</v>
      </c>
    </row>
    <row r="719" spans="1:8">
      <c r="A719" s="25">
        <v>10957</v>
      </c>
      <c r="B719" s="26" t="s">
        <v>209</v>
      </c>
      <c r="C719" s="26" t="s">
        <v>476</v>
      </c>
      <c r="D719" s="27">
        <v>35872</v>
      </c>
      <c r="E719" s="27">
        <v>35881</v>
      </c>
      <c r="F719" s="26" t="s">
        <v>243</v>
      </c>
      <c r="G719" s="28">
        <v>115.896</v>
      </c>
      <c r="H719" s="29" t="s">
        <v>208</v>
      </c>
    </row>
    <row r="720" spans="1:8">
      <c r="A720" s="20">
        <v>10958</v>
      </c>
      <c r="B720" s="21" t="s">
        <v>234</v>
      </c>
      <c r="C720" s="21" t="s">
        <v>478</v>
      </c>
      <c r="D720" s="22">
        <v>35872</v>
      </c>
      <c r="E720" s="22">
        <v>35881</v>
      </c>
      <c r="F720" s="21" t="s">
        <v>136</v>
      </c>
      <c r="G720" s="23">
        <v>54.516</v>
      </c>
      <c r="H720" s="24" t="s">
        <v>200</v>
      </c>
    </row>
    <row r="721" spans="1:8">
      <c r="A721" s="25">
        <v>10959</v>
      </c>
      <c r="B721" s="26" t="s">
        <v>228</v>
      </c>
      <c r="C721" s="26" t="s">
        <v>471</v>
      </c>
      <c r="D721" s="27">
        <v>35872</v>
      </c>
      <c r="E721" s="27">
        <v>35877</v>
      </c>
      <c r="F721" s="26" t="s">
        <v>136</v>
      </c>
      <c r="G721" s="28">
        <v>5.478</v>
      </c>
      <c r="H721" s="29" t="s">
        <v>137</v>
      </c>
    </row>
    <row r="722" spans="1:8">
      <c r="A722" s="20">
        <v>10960</v>
      </c>
      <c r="B722" s="21" t="s">
        <v>209</v>
      </c>
      <c r="C722" s="21" t="s">
        <v>473</v>
      </c>
      <c r="D722" s="22">
        <v>35873</v>
      </c>
      <c r="E722" s="22">
        <v>35893</v>
      </c>
      <c r="F722" s="21" t="s">
        <v>249</v>
      </c>
      <c r="G722" s="23">
        <v>2.288</v>
      </c>
      <c r="H722" s="24" t="s">
        <v>208</v>
      </c>
    </row>
    <row r="723" spans="1:8">
      <c r="A723" s="25">
        <v>10961</v>
      </c>
      <c r="B723" s="26" t="s">
        <v>184</v>
      </c>
      <c r="C723" s="26" t="s">
        <v>476</v>
      </c>
      <c r="D723" s="27">
        <v>35873</v>
      </c>
      <c r="E723" s="27">
        <v>35884</v>
      </c>
      <c r="F723" s="26" t="s">
        <v>249</v>
      </c>
      <c r="G723" s="28">
        <v>114.917</v>
      </c>
      <c r="H723" s="29" t="s">
        <v>137</v>
      </c>
    </row>
    <row r="724" spans="1:8">
      <c r="A724" s="20">
        <v>10962</v>
      </c>
      <c r="B724" s="21" t="s">
        <v>151</v>
      </c>
      <c r="C724" s="21" t="s">
        <v>476</v>
      </c>
      <c r="D724" s="22">
        <v>35873</v>
      </c>
      <c r="E724" s="22">
        <v>35877</v>
      </c>
      <c r="F724" s="21" t="s">
        <v>136</v>
      </c>
      <c r="G724" s="23">
        <v>303.369</v>
      </c>
      <c r="H724" s="24" t="s">
        <v>150</v>
      </c>
    </row>
    <row r="725" spans="1:8">
      <c r="A725" s="25">
        <v>10963</v>
      </c>
      <c r="B725" s="26" t="s">
        <v>203</v>
      </c>
      <c r="C725" s="26" t="s">
        <v>474</v>
      </c>
      <c r="D725" s="27">
        <v>35873</v>
      </c>
      <c r="E725" s="27">
        <v>35880</v>
      </c>
      <c r="F725" s="26" t="s">
        <v>243</v>
      </c>
      <c r="G725" s="28">
        <v>2.97</v>
      </c>
      <c r="H725" s="29" t="s">
        <v>175</v>
      </c>
    </row>
    <row r="726" spans="1:8">
      <c r="A726" s="20">
        <v>10964</v>
      </c>
      <c r="B726" s="21" t="s">
        <v>237</v>
      </c>
      <c r="C726" s="21" t="s">
        <v>473</v>
      </c>
      <c r="D726" s="22">
        <v>35874</v>
      </c>
      <c r="E726" s="22">
        <v>35878</v>
      </c>
      <c r="F726" s="21" t="s">
        <v>136</v>
      </c>
      <c r="G726" s="23">
        <v>96.118</v>
      </c>
      <c r="H726" s="24" t="s">
        <v>154</v>
      </c>
    </row>
    <row r="727" spans="1:8">
      <c r="A727" s="25">
        <v>10965</v>
      </c>
      <c r="B727" s="26" t="s">
        <v>198</v>
      </c>
      <c r="C727" s="26" t="s">
        <v>471</v>
      </c>
      <c r="D727" s="27">
        <v>35874</v>
      </c>
      <c r="E727" s="27">
        <v>35884</v>
      </c>
      <c r="F727" s="26" t="s">
        <v>243</v>
      </c>
      <c r="G727" s="28">
        <v>158.818</v>
      </c>
      <c r="H727" s="29" t="s">
        <v>145</v>
      </c>
    </row>
    <row r="728" spans="1:8">
      <c r="A728" s="20">
        <v>10966</v>
      </c>
      <c r="B728" s="21" t="s">
        <v>140</v>
      </c>
      <c r="C728" s="21" t="s">
        <v>472</v>
      </c>
      <c r="D728" s="22">
        <v>35874</v>
      </c>
      <c r="E728" s="22">
        <v>35893</v>
      </c>
      <c r="F728" s="21" t="s">
        <v>249</v>
      </c>
      <c r="G728" s="23">
        <v>29.909</v>
      </c>
      <c r="H728" s="24" t="s">
        <v>141</v>
      </c>
    </row>
    <row r="729" spans="1:8">
      <c r="A729" s="25">
        <v>10967</v>
      </c>
      <c r="B729" s="26" t="s">
        <v>196</v>
      </c>
      <c r="C729" s="26" t="s">
        <v>477</v>
      </c>
      <c r="D729" s="27">
        <v>35877</v>
      </c>
      <c r="E729" s="27">
        <v>35887</v>
      </c>
      <c r="F729" s="26" t="s">
        <v>136</v>
      </c>
      <c r="G729" s="28">
        <v>68.442</v>
      </c>
      <c r="H729" s="29" t="s">
        <v>150</v>
      </c>
    </row>
    <row r="730" spans="1:8">
      <c r="A730" s="20">
        <v>10968</v>
      </c>
      <c r="B730" s="21" t="s">
        <v>182</v>
      </c>
      <c r="C730" s="21" t="s">
        <v>475</v>
      </c>
      <c r="D730" s="22">
        <v>35877</v>
      </c>
      <c r="E730" s="22">
        <v>35886</v>
      </c>
      <c r="F730" s="21" t="s">
        <v>243</v>
      </c>
      <c r="G730" s="23">
        <v>82.06</v>
      </c>
      <c r="H730" s="24" t="s">
        <v>183</v>
      </c>
    </row>
    <row r="731" spans="1:8">
      <c r="A731" s="25">
        <v>10969</v>
      </c>
      <c r="B731" s="26" t="s">
        <v>210</v>
      </c>
      <c r="C731" s="26" t="s">
        <v>475</v>
      </c>
      <c r="D731" s="27">
        <v>35877</v>
      </c>
      <c r="E731" s="27">
        <v>35884</v>
      </c>
      <c r="F731" s="26" t="s">
        <v>136</v>
      </c>
      <c r="G731" s="28">
        <v>0.231</v>
      </c>
      <c r="H731" s="29" t="s">
        <v>137</v>
      </c>
    </row>
    <row r="732" spans="1:8">
      <c r="A732" s="20">
        <v>10970</v>
      </c>
      <c r="B732" s="21" t="s">
        <v>170</v>
      </c>
      <c r="C732" s="21" t="s">
        <v>474</v>
      </c>
      <c r="D732" s="22">
        <v>35878</v>
      </c>
      <c r="E732" s="22">
        <v>35909</v>
      </c>
      <c r="F732" s="21" t="s">
        <v>249</v>
      </c>
      <c r="G732" s="23">
        <v>17.776</v>
      </c>
      <c r="H732" s="24" t="s">
        <v>163</v>
      </c>
    </row>
    <row r="733" spans="1:8">
      <c r="A733" s="25">
        <v>10971</v>
      </c>
      <c r="B733" s="26" t="s">
        <v>238</v>
      </c>
      <c r="C733" s="26" t="s">
        <v>477</v>
      </c>
      <c r="D733" s="27">
        <v>35878</v>
      </c>
      <c r="E733" s="27">
        <v>35887</v>
      </c>
      <c r="F733" s="26" t="s">
        <v>136</v>
      </c>
      <c r="G733" s="28">
        <v>134.002</v>
      </c>
      <c r="H733" s="29" t="s">
        <v>154</v>
      </c>
    </row>
    <row r="734" spans="1:8">
      <c r="A734" s="20">
        <v>10972</v>
      </c>
      <c r="B734" s="21" t="s">
        <v>239</v>
      </c>
      <c r="C734" s="21" t="s">
        <v>472</v>
      </c>
      <c r="D734" s="22">
        <v>35878</v>
      </c>
      <c r="E734" s="22">
        <v>35880</v>
      </c>
      <c r="F734" s="21" t="s">
        <v>136</v>
      </c>
      <c r="G734" s="23">
        <v>0.022</v>
      </c>
      <c r="H734" s="24" t="s">
        <v>154</v>
      </c>
    </row>
    <row r="735" spans="1:8">
      <c r="A735" s="25">
        <v>10973</v>
      </c>
      <c r="B735" s="26" t="s">
        <v>239</v>
      </c>
      <c r="C735" s="26" t="s">
        <v>471</v>
      </c>
      <c r="D735" s="27">
        <v>35878</v>
      </c>
      <c r="E735" s="27">
        <v>35881</v>
      </c>
      <c r="F735" s="26" t="s">
        <v>136</v>
      </c>
      <c r="G735" s="28">
        <v>16.687</v>
      </c>
      <c r="H735" s="29" t="s">
        <v>154</v>
      </c>
    </row>
    <row r="736" spans="1:8">
      <c r="A736" s="20">
        <v>10974</v>
      </c>
      <c r="B736" s="21" t="s">
        <v>144</v>
      </c>
      <c r="C736" s="21" t="s">
        <v>473</v>
      </c>
      <c r="D736" s="22">
        <v>35879</v>
      </c>
      <c r="E736" s="22">
        <v>35888</v>
      </c>
      <c r="F736" s="21" t="s">
        <v>243</v>
      </c>
      <c r="G736" s="23">
        <v>14.256</v>
      </c>
      <c r="H736" s="24" t="s">
        <v>145</v>
      </c>
    </row>
    <row r="737" spans="1:8">
      <c r="A737" s="25">
        <v>10975</v>
      </c>
      <c r="B737" s="26" t="s">
        <v>188</v>
      </c>
      <c r="C737" s="26" t="s">
        <v>475</v>
      </c>
      <c r="D737" s="27">
        <v>35879</v>
      </c>
      <c r="E737" s="27">
        <v>35881</v>
      </c>
      <c r="F737" s="26" t="s">
        <v>243</v>
      </c>
      <c r="G737" s="28">
        <v>35.497</v>
      </c>
      <c r="H737" s="29" t="s">
        <v>172</v>
      </c>
    </row>
    <row r="738" spans="1:8">
      <c r="A738" s="20">
        <v>10976</v>
      </c>
      <c r="B738" s="21" t="s">
        <v>209</v>
      </c>
      <c r="C738" s="21" t="s">
        <v>475</v>
      </c>
      <c r="D738" s="22">
        <v>35879</v>
      </c>
      <c r="E738" s="22">
        <v>35888</v>
      </c>
      <c r="F738" s="21" t="s">
        <v>249</v>
      </c>
      <c r="G738" s="23">
        <v>41.767</v>
      </c>
      <c r="H738" s="24" t="s">
        <v>208</v>
      </c>
    </row>
    <row r="739" spans="1:8">
      <c r="A739" s="25">
        <v>10977</v>
      </c>
      <c r="B739" s="26" t="s">
        <v>194</v>
      </c>
      <c r="C739" s="26" t="s">
        <v>476</v>
      </c>
      <c r="D739" s="27">
        <v>35880</v>
      </c>
      <c r="E739" s="27">
        <v>35895</v>
      </c>
      <c r="F739" s="26" t="s">
        <v>243</v>
      </c>
      <c r="G739" s="28">
        <v>229.35</v>
      </c>
      <c r="H739" s="29" t="s">
        <v>148</v>
      </c>
    </row>
    <row r="740" spans="1:8">
      <c r="A740" s="20">
        <v>10978</v>
      </c>
      <c r="B740" s="21" t="s">
        <v>216</v>
      </c>
      <c r="C740" s="21" t="s">
        <v>474</v>
      </c>
      <c r="D740" s="22">
        <v>35880</v>
      </c>
      <c r="E740" s="22">
        <v>35908</v>
      </c>
      <c r="F740" s="21" t="s">
        <v>136</v>
      </c>
      <c r="G740" s="23">
        <v>36.102</v>
      </c>
      <c r="H740" s="24" t="s">
        <v>139</v>
      </c>
    </row>
    <row r="741" spans="1:8">
      <c r="A741" s="25">
        <v>10979</v>
      </c>
      <c r="B741" s="26" t="s">
        <v>182</v>
      </c>
      <c r="C741" s="26" t="s">
        <v>476</v>
      </c>
      <c r="D741" s="27">
        <v>35880</v>
      </c>
      <c r="E741" s="27">
        <v>35885</v>
      </c>
      <c r="F741" s="26" t="s">
        <v>136</v>
      </c>
      <c r="G741" s="28">
        <v>388.377</v>
      </c>
      <c r="H741" s="29" t="s">
        <v>183</v>
      </c>
    </row>
    <row r="742" spans="1:8">
      <c r="A742" s="20">
        <v>10980</v>
      </c>
      <c r="B742" s="21" t="s">
        <v>194</v>
      </c>
      <c r="C742" s="21" t="s">
        <v>472</v>
      </c>
      <c r="D742" s="22">
        <v>35881</v>
      </c>
      <c r="E742" s="22">
        <v>35902</v>
      </c>
      <c r="F742" s="21" t="s">
        <v>249</v>
      </c>
      <c r="G742" s="23">
        <v>1.386</v>
      </c>
      <c r="H742" s="24" t="s">
        <v>148</v>
      </c>
    </row>
    <row r="743" spans="1:8">
      <c r="A743" s="25">
        <v>10981</v>
      </c>
      <c r="B743" s="26" t="s">
        <v>135</v>
      </c>
      <c r="C743" s="26" t="s">
        <v>475</v>
      </c>
      <c r="D743" s="27">
        <v>35881</v>
      </c>
      <c r="E743" s="27">
        <v>35887</v>
      </c>
      <c r="F743" s="26" t="s">
        <v>136</v>
      </c>
      <c r="G743" s="28">
        <v>212.707</v>
      </c>
      <c r="H743" s="29" t="s">
        <v>137</v>
      </c>
    </row>
    <row r="744" spans="1:8">
      <c r="A744" s="20">
        <v>10982</v>
      </c>
      <c r="B744" s="21" t="s">
        <v>188</v>
      </c>
      <c r="C744" s="21" t="s">
        <v>477</v>
      </c>
      <c r="D744" s="22">
        <v>35881</v>
      </c>
      <c r="E744" s="22">
        <v>35893</v>
      </c>
      <c r="F744" s="21" t="s">
        <v>249</v>
      </c>
      <c r="G744" s="23">
        <v>15.411</v>
      </c>
      <c r="H744" s="24" t="s">
        <v>172</v>
      </c>
    </row>
    <row r="745" spans="1:8">
      <c r="A745" s="25">
        <v>10983</v>
      </c>
      <c r="B745" s="26" t="s">
        <v>197</v>
      </c>
      <c r="C745" s="26" t="s">
        <v>477</v>
      </c>
      <c r="D745" s="27">
        <v>35881</v>
      </c>
      <c r="E745" s="27">
        <v>35891</v>
      </c>
      <c r="F745" s="26" t="s">
        <v>136</v>
      </c>
      <c r="G745" s="28">
        <v>723.294</v>
      </c>
      <c r="H745" s="29" t="s">
        <v>145</v>
      </c>
    </row>
    <row r="746" spans="1:8">
      <c r="A746" s="20">
        <v>10984</v>
      </c>
      <c r="B746" s="21" t="s">
        <v>197</v>
      </c>
      <c r="C746" s="21" t="s">
        <v>475</v>
      </c>
      <c r="D746" s="22">
        <v>35884</v>
      </c>
      <c r="E746" s="22">
        <v>35888</v>
      </c>
      <c r="F746" s="21" t="s">
        <v>243</v>
      </c>
      <c r="G746" s="23">
        <v>232.342</v>
      </c>
      <c r="H746" s="24" t="s">
        <v>145</v>
      </c>
    </row>
    <row r="747" spans="1:8">
      <c r="A747" s="25">
        <v>10985</v>
      </c>
      <c r="B747" s="26" t="s">
        <v>156</v>
      </c>
      <c r="C747" s="26" t="s">
        <v>477</v>
      </c>
      <c r="D747" s="27">
        <v>35884</v>
      </c>
      <c r="E747" s="27">
        <v>35887</v>
      </c>
      <c r="F747" s="26" t="s">
        <v>249</v>
      </c>
      <c r="G747" s="28">
        <v>100.661</v>
      </c>
      <c r="H747" s="29" t="s">
        <v>157</v>
      </c>
    </row>
    <row r="748" spans="1:8">
      <c r="A748" s="20">
        <v>10986</v>
      </c>
      <c r="B748" s="21" t="s">
        <v>234</v>
      </c>
      <c r="C748" s="21" t="s">
        <v>476</v>
      </c>
      <c r="D748" s="22">
        <v>35884</v>
      </c>
      <c r="E748" s="22">
        <v>35906</v>
      </c>
      <c r="F748" s="21" t="s">
        <v>136</v>
      </c>
      <c r="G748" s="23">
        <v>239.646</v>
      </c>
      <c r="H748" s="24" t="s">
        <v>200</v>
      </c>
    </row>
    <row r="749" spans="1:8">
      <c r="A749" s="25">
        <v>10987</v>
      </c>
      <c r="B749" s="26" t="s">
        <v>240</v>
      </c>
      <c r="C749" s="26" t="s">
        <v>476</v>
      </c>
      <c r="D749" s="27">
        <v>35885</v>
      </c>
      <c r="E749" s="27">
        <v>35891</v>
      </c>
      <c r="F749" s="26" t="s">
        <v>249</v>
      </c>
      <c r="G749" s="28">
        <v>204.028</v>
      </c>
      <c r="H749" s="29" t="s">
        <v>169</v>
      </c>
    </row>
    <row r="750" spans="1:8">
      <c r="A750" s="20">
        <v>10988</v>
      </c>
      <c r="B750" s="21" t="s">
        <v>146</v>
      </c>
      <c r="C750" s="21" t="s">
        <v>473</v>
      </c>
      <c r="D750" s="22">
        <v>35885</v>
      </c>
      <c r="E750" s="22">
        <v>35895</v>
      </c>
      <c r="F750" s="21" t="s">
        <v>136</v>
      </c>
      <c r="G750" s="23">
        <v>67.254</v>
      </c>
      <c r="H750" s="24" t="s">
        <v>145</v>
      </c>
    </row>
    <row r="751" spans="1:8">
      <c r="A751" s="25">
        <v>10989</v>
      </c>
      <c r="B751" s="26" t="s">
        <v>143</v>
      </c>
      <c r="C751" s="26" t="s">
        <v>477</v>
      </c>
      <c r="D751" s="27">
        <v>35885</v>
      </c>
      <c r="E751" s="27">
        <v>35887</v>
      </c>
      <c r="F751" s="26" t="s">
        <v>249</v>
      </c>
      <c r="G751" s="28">
        <v>38.236</v>
      </c>
      <c r="H751" s="29" t="s">
        <v>137</v>
      </c>
    </row>
    <row r="752" spans="1:8">
      <c r="A752" s="20">
        <v>10990</v>
      </c>
      <c r="B752" s="21" t="s">
        <v>182</v>
      </c>
      <c r="C752" s="21" t="s">
        <v>477</v>
      </c>
      <c r="D752" s="22">
        <v>35886</v>
      </c>
      <c r="E752" s="22">
        <v>35892</v>
      </c>
      <c r="F752" s="21" t="s">
        <v>243</v>
      </c>
      <c r="G752" s="23">
        <v>129.371</v>
      </c>
      <c r="H752" s="24" t="s">
        <v>183</v>
      </c>
    </row>
    <row r="753" spans="1:8">
      <c r="A753" s="25">
        <v>10991</v>
      </c>
      <c r="B753" s="26" t="s">
        <v>151</v>
      </c>
      <c r="C753" s="26" t="s">
        <v>475</v>
      </c>
      <c r="D753" s="27">
        <v>35886</v>
      </c>
      <c r="E753" s="27">
        <v>35892</v>
      </c>
      <c r="F753" s="26" t="s">
        <v>249</v>
      </c>
      <c r="G753" s="28">
        <v>42.361</v>
      </c>
      <c r="H753" s="29" t="s">
        <v>150</v>
      </c>
    </row>
    <row r="754" spans="1:8">
      <c r="A754" s="20">
        <v>10992</v>
      </c>
      <c r="B754" s="21" t="s">
        <v>167</v>
      </c>
      <c r="C754" s="21" t="s">
        <v>475</v>
      </c>
      <c r="D754" s="22">
        <v>35886</v>
      </c>
      <c r="E754" s="22">
        <v>35888</v>
      </c>
      <c r="F754" s="21" t="s">
        <v>243</v>
      </c>
      <c r="G754" s="23">
        <v>4.697</v>
      </c>
      <c r="H754" s="24" t="s">
        <v>145</v>
      </c>
    </row>
    <row r="755" spans="1:8">
      <c r="A755" s="25">
        <v>10993</v>
      </c>
      <c r="B755" s="26" t="s">
        <v>194</v>
      </c>
      <c r="C755" s="26" t="s">
        <v>478</v>
      </c>
      <c r="D755" s="27">
        <v>35886</v>
      </c>
      <c r="E755" s="27">
        <v>35895</v>
      </c>
      <c r="F755" s="26" t="s">
        <v>243</v>
      </c>
      <c r="G755" s="28">
        <v>9.691</v>
      </c>
      <c r="H755" s="29" t="s">
        <v>148</v>
      </c>
    </row>
    <row r="756" spans="1:8">
      <c r="A756" s="20">
        <v>10994</v>
      </c>
      <c r="B756" s="21" t="s">
        <v>221</v>
      </c>
      <c r="C756" s="21" t="s">
        <v>477</v>
      </c>
      <c r="D756" s="22">
        <v>35887</v>
      </c>
      <c r="E756" s="22">
        <v>35894</v>
      </c>
      <c r="F756" s="21" t="s">
        <v>243</v>
      </c>
      <c r="G756" s="23">
        <v>72.083</v>
      </c>
      <c r="H756" s="24" t="s">
        <v>222</v>
      </c>
    </row>
    <row r="757" spans="1:8">
      <c r="A757" s="25">
        <v>10995</v>
      </c>
      <c r="B757" s="26" t="s">
        <v>205</v>
      </c>
      <c r="C757" s="26" t="s">
        <v>475</v>
      </c>
      <c r="D757" s="27">
        <v>35887</v>
      </c>
      <c r="E757" s="27">
        <v>35891</v>
      </c>
      <c r="F757" s="26" t="s">
        <v>243</v>
      </c>
      <c r="G757" s="28">
        <v>50.6</v>
      </c>
      <c r="H757" s="29" t="s">
        <v>165</v>
      </c>
    </row>
    <row r="758" spans="1:8">
      <c r="A758" s="20">
        <v>10996</v>
      </c>
      <c r="B758" s="21" t="s">
        <v>151</v>
      </c>
      <c r="C758" s="21" t="s">
        <v>472</v>
      </c>
      <c r="D758" s="22">
        <v>35887</v>
      </c>
      <c r="E758" s="22">
        <v>35895</v>
      </c>
      <c r="F758" s="21" t="s">
        <v>136</v>
      </c>
      <c r="G758" s="23">
        <v>1.232</v>
      </c>
      <c r="H758" s="24" t="s">
        <v>150</v>
      </c>
    </row>
    <row r="759" spans="1:8">
      <c r="A759" s="25">
        <v>10997</v>
      </c>
      <c r="B759" s="26" t="s">
        <v>211</v>
      </c>
      <c r="C759" s="26" t="s">
        <v>476</v>
      </c>
      <c r="D759" s="27">
        <v>35888</v>
      </c>
      <c r="E759" s="27">
        <v>35898</v>
      </c>
      <c r="F759" s="26" t="s">
        <v>136</v>
      </c>
      <c r="G759" s="28">
        <v>81.301</v>
      </c>
      <c r="H759" s="29" t="s">
        <v>208</v>
      </c>
    </row>
    <row r="760" spans="1:8">
      <c r="A760" s="20">
        <v>10998</v>
      </c>
      <c r="B760" s="21" t="s">
        <v>224</v>
      </c>
      <c r="C760" s="21" t="s">
        <v>476</v>
      </c>
      <c r="D760" s="22">
        <v>35888</v>
      </c>
      <c r="E760" s="22">
        <v>35902</v>
      </c>
      <c r="F760" s="21" t="s">
        <v>136</v>
      </c>
      <c r="G760" s="23">
        <v>22.341</v>
      </c>
      <c r="H760" s="24" t="s">
        <v>226</v>
      </c>
    </row>
    <row r="761" spans="1:8">
      <c r="A761" s="25">
        <v>10999</v>
      </c>
      <c r="B761" s="26" t="s">
        <v>189</v>
      </c>
      <c r="C761" s="26" t="s">
        <v>471</v>
      </c>
      <c r="D761" s="27">
        <v>35888</v>
      </c>
      <c r="E761" s="27">
        <v>35895</v>
      </c>
      <c r="F761" s="26" t="s">
        <v>136</v>
      </c>
      <c r="G761" s="28">
        <v>105.985</v>
      </c>
      <c r="H761" s="29" t="s">
        <v>150</v>
      </c>
    </row>
    <row r="762" spans="1:8">
      <c r="A762" s="20">
        <v>11000</v>
      </c>
      <c r="B762" s="21" t="s">
        <v>146</v>
      </c>
      <c r="C762" s="21" t="s">
        <v>477</v>
      </c>
      <c r="D762" s="22">
        <v>35891</v>
      </c>
      <c r="E762" s="22">
        <v>35899</v>
      </c>
      <c r="F762" s="21" t="s">
        <v>243</v>
      </c>
      <c r="G762" s="23">
        <v>60.632</v>
      </c>
      <c r="H762" s="24" t="s">
        <v>145</v>
      </c>
    </row>
    <row r="763" spans="1:8">
      <c r="A763" s="25">
        <v>11001</v>
      </c>
      <c r="B763" s="26" t="s">
        <v>194</v>
      </c>
      <c r="C763" s="26" t="s">
        <v>477</v>
      </c>
      <c r="D763" s="27">
        <v>35891</v>
      </c>
      <c r="E763" s="27">
        <v>35899</v>
      </c>
      <c r="F763" s="26" t="s">
        <v>136</v>
      </c>
      <c r="G763" s="28">
        <v>217.03</v>
      </c>
      <c r="H763" s="29" t="s">
        <v>148</v>
      </c>
    </row>
    <row r="764" spans="1:8">
      <c r="A764" s="20">
        <v>11002</v>
      </c>
      <c r="B764" s="21" t="s">
        <v>197</v>
      </c>
      <c r="C764" s="21" t="s">
        <v>472</v>
      </c>
      <c r="D764" s="22">
        <v>35891</v>
      </c>
      <c r="E764" s="22">
        <v>35901</v>
      </c>
      <c r="F764" s="21" t="s">
        <v>249</v>
      </c>
      <c r="G764" s="23">
        <v>155.276</v>
      </c>
      <c r="H764" s="24" t="s">
        <v>145</v>
      </c>
    </row>
    <row r="765" spans="1:8">
      <c r="A765" s="25">
        <v>11003</v>
      </c>
      <c r="B765" s="26" t="s">
        <v>227</v>
      </c>
      <c r="C765" s="26" t="s">
        <v>473</v>
      </c>
      <c r="D765" s="27">
        <v>35891</v>
      </c>
      <c r="E765" s="27">
        <v>35893</v>
      </c>
      <c r="F765" s="26" t="s">
        <v>243</v>
      </c>
      <c r="G765" s="28">
        <v>16.401</v>
      </c>
      <c r="H765" s="29" t="s">
        <v>145</v>
      </c>
    </row>
    <row r="766" spans="1:8">
      <c r="A766" s="20">
        <v>11004</v>
      </c>
      <c r="B766" s="21" t="s">
        <v>216</v>
      </c>
      <c r="C766" s="21" t="s">
        <v>473</v>
      </c>
      <c r="D766" s="22">
        <v>35892</v>
      </c>
      <c r="E766" s="22">
        <v>35905</v>
      </c>
      <c r="F766" s="21" t="s">
        <v>249</v>
      </c>
      <c r="G766" s="23">
        <v>49.324</v>
      </c>
      <c r="H766" s="24" t="s">
        <v>139</v>
      </c>
    </row>
    <row r="767" spans="1:8">
      <c r="A767" s="25">
        <v>11005</v>
      </c>
      <c r="B767" s="26" t="s">
        <v>242</v>
      </c>
      <c r="C767" s="26" t="s">
        <v>477</v>
      </c>
      <c r="D767" s="27">
        <v>35892</v>
      </c>
      <c r="E767" s="27">
        <v>35895</v>
      </c>
      <c r="F767" s="26" t="s">
        <v>249</v>
      </c>
      <c r="G767" s="28">
        <v>0.825</v>
      </c>
      <c r="H767" s="29" t="s">
        <v>191</v>
      </c>
    </row>
    <row r="768" spans="1:8">
      <c r="A768" s="20">
        <v>11006</v>
      </c>
      <c r="B768" s="21" t="s">
        <v>215</v>
      </c>
      <c r="C768" s="21" t="s">
        <v>473</v>
      </c>
      <c r="D768" s="22">
        <v>35892</v>
      </c>
      <c r="E768" s="22">
        <v>35900</v>
      </c>
      <c r="F768" s="21" t="s">
        <v>136</v>
      </c>
      <c r="G768" s="23">
        <v>27.709</v>
      </c>
      <c r="H768" s="24" t="s">
        <v>145</v>
      </c>
    </row>
    <row r="769" spans="1:8">
      <c r="A769" s="25">
        <v>11007</v>
      </c>
      <c r="B769" s="26" t="s">
        <v>174</v>
      </c>
      <c r="C769" s="26" t="s">
        <v>476</v>
      </c>
      <c r="D769" s="27">
        <v>35893</v>
      </c>
      <c r="E769" s="27">
        <v>35898</v>
      </c>
      <c r="F769" s="26" t="s">
        <v>136</v>
      </c>
      <c r="G769" s="28">
        <v>222.464</v>
      </c>
      <c r="H769" s="29" t="s">
        <v>175</v>
      </c>
    </row>
    <row r="770" spans="1:8">
      <c r="A770" s="20">
        <v>11008</v>
      </c>
      <c r="B770" s="21" t="s">
        <v>182</v>
      </c>
      <c r="C770" s="21" t="s">
        <v>478</v>
      </c>
      <c r="D770" s="22">
        <v>35893</v>
      </c>
      <c r="E770" s="22"/>
      <c r="F770" s="21" t="s">
        <v>243</v>
      </c>
      <c r="G770" s="23">
        <v>87.406</v>
      </c>
      <c r="H770" s="24" t="s">
        <v>183</v>
      </c>
    </row>
    <row r="771" spans="1:8">
      <c r="A771" s="25">
        <v>11009</v>
      </c>
      <c r="B771" s="26" t="s">
        <v>162</v>
      </c>
      <c r="C771" s="26" t="s">
        <v>477</v>
      </c>
      <c r="D771" s="27">
        <v>35893</v>
      </c>
      <c r="E771" s="27">
        <v>35895</v>
      </c>
      <c r="F771" s="26" t="s">
        <v>249</v>
      </c>
      <c r="G771" s="28">
        <v>65.021</v>
      </c>
      <c r="H771" s="29" t="s">
        <v>163</v>
      </c>
    </row>
    <row r="772" spans="1:8">
      <c r="A772" s="20">
        <v>11010</v>
      </c>
      <c r="B772" s="21" t="s">
        <v>229</v>
      </c>
      <c r="C772" s="21" t="s">
        <v>477</v>
      </c>
      <c r="D772" s="22">
        <v>35894</v>
      </c>
      <c r="E772" s="22">
        <v>35906</v>
      </c>
      <c r="F772" s="21" t="s">
        <v>136</v>
      </c>
      <c r="G772" s="23">
        <v>31.581</v>
      </c>
      <c r="H772" s="24" t="s">
        <v>160</v>
      </c>
    </row>
    <row r="773" spans="1:8">
      <c r="A773" s="25">
        <v>11011</v>
      </c>
      <c r="B773" s="26" t="s">
        <v>230</v>
      </c>
      <c r="C773" s="26" t="s">
        <v>473</v>
      </c>
      <c r="D773" s="27">
        <v>35894</v>
      </c>
      <c r="E773" s="27">
        <v>35898</v>
      </c>
      <c r="F773" s="26" t="s">
        <v>249</v>
      </c>
      <c r="G773" s="28">
        <v>1.331</v>
      </c>
      <c r="H773" s="29" t="s">
        <v>150</v>
      </c>
    </row>
    <row r="774" spans="1:8">
      <c r="A774" s="20">
        <v>11012</v>
      </c>
      <c r="B774" s="21" t="s">
        <v>176</v>
      </c>
      <c r="C774" s="21" t="s">
        <v>475</v>
      </c>
      <c r="D774" s="22">
        <v>35894</v>
      </c>
      <c r="E774" s="22">
        <v>35902</v>
      </c>
      <c r="F774" s="21" t="s">
        <v>243</v>
      </c>
      <c r="G774" s="23">
        <v>267.245</v>
      </c>
      <c r="H774" s="24" t="s">
        <v>150</v>
      </c>
    </row>
    <row r="775" spans="1:8">
      <c r="A775" s="25">
        <v>11013</v>
      </c>
      <c r="B775" s="26" t="s">
        <v>235</v>
      </c>
      <c r="C775" s="26" t="s">
        <v>477</v>
      </c>
      <c r="D775" s="27">
        <v>35894</v>
      </c>
      <c r="E775" s="27">
        <v>35895</v>
      </c>
      <c r="F775" s="26" t="s">
        <v>249</v>
      </c>
      <c r="G775" s="28">
        <v>36.289</v>
      </c>
      <c r="H775" s="29" t="s">
        <v>163</v>
      </c>
    </row>
    <row r="776" spans="1:8">
      <c r="A776" s="20">
        <v>11014</v>
      </c>
      <c r="B776" s="21" t="s">
        <v>207</v>
      </c>
      <c r="C776" s="21" t="s">
        <v>477</v>
      </c>
      <c r="D776" s="22">
        <v>35895</v>
      </c>
      <c r="E776" s="22">
        <v>35900</v>
      </c>
      <c r="F776" s="21" t="s">
        <v>243</v>
      </c>
      <c r="G776" s="23">
        <v>25.96</v>
      </c>
      <c r="H776" s="24" t="s">
        <v>208</v>
      </c>
    </row>
    <row r="777" spans="1:8">
      <c r="A777" s="25">
        <v>11015</v>
      </c>
      <c r="B777" s="26" t="s">
        <v>186</v>
      </c>
      <c r="C777" s="26" t="s">
        <v>477</v>
      </c>
      <c r="D777" s="27">
        <v>35895</v>
      </c>
      <c r="E777" s="27">
        <v>35905</v>
      </c>
      <c r="F777" s="26" t="s">
        <v>136</v>
      </c>
      <c r="G777" s="28">
        <v>5.082</v>
      </c>
      <c r="H777" s="29" t="s">
        <v>187</v>
      </c>
    </row>
    <row r="778" spans="1:8">
      <c r="A778" s="20">
        <v>11016</v>
      </c>
      <c r="B778" s="21" t="s">
        <v>201</v>
      </c>
      <c r="C778" s="21" t="s">
        <v>474</v>
      </c>
      <c r="D778" s="22">
        <v>35895</v>
      </c>
      <c r="E778" s="22">
        <v>35898</v>
      </c>
      <c r="F778" s="21" t="s">
        <v>136</v>
      </c>
      <c r="G778" s="23">
        <v>37.18</v>
      </c>
      <c r="H778" s="24" t="s">
        <v>169</v>
      </c>
    </row>
    <row r="779" spans="1:8">
      <c r="A779" s="25">
        <v>11017</v>
      </c>
      <c r="B779" s="26" t="s">
        <v>182</v>
      </c>
      <c r="C779" s="26" t="s">
        <v>474</v>
      </c>
      <c r="D779" s="27">
        <v>35898</v>
      </c>
      <c r="E779" s="27">
        <v>35905</v>
      </c>
      <c r="F779" s="26" t="s">
        <v>136</v>
      </c>
      <c r="G779" s="28">
        <v>829.686</v>
      </c>
      <c r="H779" s="29" t="s">
        <v>183</v>
      </c>
    </row>
    <row r="780" spans="1:8">
      <c r="A780" s="20">
        <v>11018</v>
      </c>
      <c r="B780" s="21" t="s">
        <v>166</v>
      </c>
      <c r="C780" s="21" t="s">
        <v>472</v>
      </c>
      <c r="D780" s="22">
        <v>35898</v>
      </c>
      <c r="E780" s="22">
        <v>35901</v>
      </c>
      <c r="F780" s="21" t="s">
        <v>136</v>
      </c>
      <c r="G780" s="23">
        <v>12.815</v>
      </c>
      <c r="H780" s="24" t="s">
        <v>145</v>
      </c>
    </row>
    <row r="781" spans="1:8">
      <c r="A781" s="25">
        <v>11019</v>
      </c>
      <c r="B781" s="26" t="s">
        <v>199</v>
      </c>
      <c r="C781" s="26" t="s">
        <v>471</v>
      </c>
      <c r="D781" s="27">
        <v>35898</v>
      </c>
      <c r="E781" s="27"/>
      <c r="F781" s="26" t="s">
        <v>243</v>
      </c>
      <c r="G781" s="28">
        <v>3.487</v>
      </c>
      <c r="H781" s="29" t="s">
        <v>200</v>
      </c>
    </row>
    <row r="782" spans="1:8">
      <c r="A782" s="20">
        <v>11020</v>
      </c>
      <c r="B782" s="21" t="s">
        <v>189</v>
      </c>
      <c r="C782" s="21" t="s">
        <v>477</v>
      </c>
      <c r="D782" s="22">
        <v>35899</v>
      </c>
      <c r="E782" s="22">
        <v>35901</v>
      </c>
      <c r="F782" s="21" t="s">
        <v>136</v>
      </c>
      <c r="G782" s="23">
        <v>47.63</v>
      </c>
      <c r="H782" s="24" t="s">
        <v>150</v>
      </c>
    </row>
    <row r="783" spans="1:8">
      <c r="A783" s="25">
        <v>11021</v>
      </c>
      <c r="B783" s="26" t="s">
        <v>151</v>
      </c>
      <c r="C783" s="26" t="s">
        <v>473</v>
      </c>
      <c r="D783" s="27">
        <v>35899</v>
      </c>
      <c r="E783" s="27">
        <v>35906</v>
      </c>
      <c r="F783" s="26" t="s">
        <v>249</v>
      </c>
      <c r="G783" s="28">
        <v>326.898</v>
      </c>
      <c r="H783" s="29" t="s">
        <v>150</v>
      </c>
    </row>
    <row r="784" spans="1:8">
      <c r="A784" s="20">
        <v>11022</v>
      </c>
      <c r="B784" s="21" t="s">
        <v>135</v>
      </c>
      <c r="C784" s="21" t="s">
        <v>474</v>
      </c>
      <c r="D784" s="22">
        <v>35899</v>
      </c>
      <c r="E784" s="22">
        <v>35919</v>
      </c>
      <c r="F784" s="21" t="s">
        <v>136</v>
      </c>
      <c r="G784" s="23">
        <v>6.897</v>
      </c>
      <c r="H784" s="24" t="s">
        <v>137</v>
      </c>
    </row>
    <row r="785" spans="1:8">
      <c r="A785" s="25">
        <v>11023</v>
      </c>
      <c r="B785" s="26" t="s">
        <v>236</v>
      </c>
      <c r="C785" s="26" t="s">
        <v>475</v>
      </c>
      <c r="D785" s="27">
        <v>35899</v>
      </c>
      <c r="E785" s="27">
        <v>35909</v>
      </c>
      <c r="F785" s="26" t="s">
        <v>136</v>
      </c>
      <c r="G785" s="28">
        <v>136.213</v>
      </c>
      <c r="H785" s="29" t="s">
        <v>169</v>
      </c>
    </row>
    <row r="786" spans="1:8">
      <c r="A786" s="20">
        <v>11024</v>
      </c>
      <c r="B786" s="21" t="s">
        <v>240</v>
      </c>
      <c r="C786" s="21" t="s">
        <v>472</v>
      </c>
      <c r="D786" s="22">
        <v>35900</v>
      </c>
      <c r="E786" s="22">
        <v>35905</v>
      </c>
      <c r="F786" s="21" t="s">
        <v>249</v>
      </c>
      <c r="G786" s="23">
        <v>81.796</v>
      </c>
      <c r="H786" s="24" t="s">
        <v>169</v>
      </c>
    </row>
    <row r="787" spans="1:8">
      <c r="A787" s="25">
        <v>11025</v>
      </c>
      <c r="B787" s="26" t="s">
        <v>190</v>
      </c>
      <c r="C787" s="26" t="s">
        <v>471</v>
      </c>
      <c r="D787" s="27">
        <v>35900</v>
      </c>
      <c r="E787" s="27">
        <v>35909</v>
      </c>
      <c r="F787" s="26" t="s">
        <v>243</v>
      </c>
      <c r="G787" s="28">
        <v>32.087</v>
      </c>
      <c r="H787" s="29" t="s">
        <v>191</v>
      </c>
    </row>
    <row r="788" spans="1:8">
      <c r="A788" s="20">
        <v>11026</v>
      </c>
      <c r="B788" s="21" t="s">
        <v>241</v>
      </c>
      <c r="C788" s="21" t="s">
        <v>472</v>
      </c>
      <c r="D788" s="22">
        <v>35900</v>
      </c>
      <c r="E788" s="22">
        <v>35913</v>
      </c>
      <c r="F788" s="21" t="s">
        <v>249</v>
      </c>
      <c r="G788" s="23">
        <v>51.799</v>
      </c>
      <c r="H788" s="24" t="s">
        <v>160</v>
      </c>
    </row>
    <row r="789" spans="1:8">
      <c r="A789" s="25">
        <v>11027</v>
      </c>
      <c r="B789" s="26" t="s">
        <v>188</v>
      </c>
      <c r="C789" s="26" t="s">
        <v>475</v>
      </c>
      <c r="D789" s="27">
        <v>35901</v>
      </c>
      <c r="E789" s="27">
        <v>35905</v>
      </c>
      <c r="F789" s="26" t="s">
        <v>249</v>
      </c>
      <c r="G789" s="28">
        <v>57.772</v>
      </c>
      <c r="H789" s="29" t="s">
        <v>172</v>
      </c>
    </row>
    <row r="790" spans="1:8">
      <c r="A790" s="20">
        <v>11028</v>
      </c>
      <c r="B790" s="21" t="s">
        <v>202</v>
      </c>
      <c r="C790" s="21" t="s">
        <v>477</v>
      </c>
      <c r="D790" s="22">
        <v>35901</v>
      </c>
      <c r="E790" s="22">
        <v>35907</v>
      </c>
      <c r="F790" s="21" t="s">
        <v>249</v>
      </c>
      <c r="G790" s="23">
        <v>32.549</v>
      </c>
      <c r="H790" s="24" t="s">
        <v>150</v>
      </c>
    </row>
    <row r="791" spans="1:8">
      <c r="A791" s="25">
        <v>11029</v>
      </c>
      <c r="B791" s="26" t="s">
        <v>140</v>
      </c>
      <c r="C791" s="26" t="s">
        <v>472</v>
      </c>
      <c r="D791" s="27">
        <v>35901</v>
      </c>
      <c r="E791" s="27">
        <v>35912</v>
      </c>
      <c r="F791" s="26" t="s">
        <v>249</v>
      </c>
      <c r="G791" s="28">
        <v>52.624</v>
      </c>
      <c r="H791" s="29" t="s">
        <v>141</v>
      </c>
    </row>
    <row r="792" spans="1:8">
      <c r="A792" s="20">
        <v>11030</v>
      </c>
      <c r="B792" s="21" t="s">
        <v>197</v>
      </c>
      <c r="C792" s="21" t="s">
        <v>478</v>
      </c>
      <c r="D792" s="22">
        <v>35902</v>
      </c>
      <c r="E792" s="22">
        <v>35912</v>
      </c>
      <c r="F792" s="21" t="s">
        <v>136</v>
      </c>
      <c r="G792" s="23">
        <v>913.825</v>
      </c>
      <c r="H792" s="24" t="s">
        <v>145</v>
      </c>
    </row>
    <row r="793" spans="1:8">
      <c r="A793" s="25">
        <v>11031</v>
      </c>
      <c r="B793" s="26" t="s">
        <v>197</v>
      </c>
      <c r="C793" s="26" t="s">
        <v>471</v>
      </c>
      <c r="D793" s="27">
        <v>35902</v>
      </c>
      <c r="E793" s="27">
        <v>35909</v>
      </c>
      <c r="F793" s="26" t="s">
        <v>136</v>
      </c>
      <c r="G793" s="28">
        <v>249.942</v>
      </c>
      <c r="H793" s="29" t="s">
        <v>145</v>
      </c>
    </row>
    <row r="794" spans="1:8">
      <c r="A794" s="20">
        <v>11032</v>
      </c>
      <c r="B794" s="21" t="s">
        <v>177</v>
      </c>
      <c r="C794" s="21" t="s">
        <v>477</v>
      </c>
      <c r="D794" s="22">
        <v>35902</v>
      </c>
      <c r="E794" s="22">
        <v>35908</v>
      </c>
      <c r="F794" s="21" t="s">
        <v>243</v>
      </c>
      <c r="G794" s="23">
        <v>666.809</v>
      </c>
      <c r="H794" s="24" t="s">
        <v>145</v>
      </c>
    </row>
    <row r="795" spans="1:8">
      <c r="A795" s="25">
        <v>11033</v>
      </c>
      <c r="B795" s="26" t="s">
        <v>192</v>
      </c>
      <c r="C795" s="26" t="s">
        <v>478</v>
      </c>
      <c r="D795" s="27">
        <v>35902</v>
      </c>
      <c r="E795" s="27">
        <v>35908</v>
      </c>
      <c r="F795" s="26" t="s">
        <v>243</v>
      </c>
      <c r="G795" s="28">
        <v>93.214</v>
      </c>
      <c r="H795" s="29" t="s">
        <v>141</v>
      </c>
    </row>
    <row r="796" spans="1:8">
      <c r="A796" s="20">
        <v>11034</v>
      </c>
      <c r="B796" s="21" t="s">
        <v>198</v>
      </c>
      <c r="C796" s="21" t="s">
        <v>476</v>
      </c>
      <c r="D796" s="22">
        <v>35905</v>
      </c>
      <c r="E796" s="22">
        <v>35912</v>
      </c>
      <c r="F796" s="21" t="s">
        <v>249</v>
      </c>
      <c r="G796" s="23">
        <v>44.352</v>
      </c>
      <c r="H796" s="24" t="s">
        <v>145</v>
      </c>
    </row>
    <row r="797" spans="1:8">
      <c r="A797" s="25">
        <v>11035</v>
      </c>
      <c r="B797" s="26" t="s">
        <v>138</v>
      </c>
      <c r="C797" s="26" t="s">
        <v>477</v>
      </c>
      <c r="D797" s="27">
        <v>35905</v>
      </c>
      <c r="E797" s="27">
        <v>35909</v>
      </c>
      <c r="F797" s="26" t="s">
        <v>136</v>
      </c>
      <c r="G797" s="28">
        <v>0.187</v>
      </c>
      <c r="H797" s="29" t="s">
        <v>139</v>
      </c>
    </row>
    <row r="798" spans="1:8">
      <c r="A798" s="20">
        <v>11036</v>
      </c>
      <c r="B798" s="21" t="s">
        <v>232</v>
      </c>
      <c r="C798" s="21" t="s">
        <v>476</v>
      </c>
      <c r="D798" s="22">
        <v>35905</v>
      </c>
      <c r="E798" s="22">
        <v>35907</v>
      </c>
      <c r="F798" s="21" t="s">
        <v>243</v>
      </c>
      <c r="G798" s="23">
        <v>164.417</v>
      </c>
      <c r="H798" s="24" t="s">
        <v>150</v>
      </c>
    </row>
    <row r="799" spans="1:8">
      <c r="A799" s="25">
        <v>11037</v>
      </c>
      <c r="B799" s="26" t="s">
        <v>162</v>
      </c>
      <c r="C799" s="26" t="s">
        <v>478</v>
      </c>
      <c r="D799" s="27">
        <v>35906</v>
      </c>
      <c r="E799" s="27">
        <v>35912</v>
      </c>
      <c r="F799" s="26" t="s">
        <v>249</v>
      </c>
      <c r="G799" s="28">
        <v>3.52</v>
      </c>
      <c r="H799" s="29" t="s">
        <v>163</v>
      </c>
    </row>
    <row r="800" spans="1:8">
      <c r="A800" s="20">
        <v>11038</v>
      </c>
      <c r="B800" s="21" t="s">
        <v>138</v>
      </c>
      <c r="C800" s="21" t="s">
        <v>475</v>
      </c>
      <c r="D800" s="22">
        <v>35906</v>
      </c>
      <c r="E800" s="22">
        <v>35915</v>
      </c>
      <c r="F800" s="21" t="s">
        <v>136</v>
      </c>
      <c r="G800" s="23">
        <v>32.549</v>
      </c>
      <c r="H800" s="24" t="s">
        <v>139</v>
      </c>
    </row>
    <row r="801" spans="1:8">
      <c r="A801" s="25">
        <v>11039</v>
      </c>
      <c r="B801" s="26" t="s">
        <v>207</v>
      </c>
      <c r="C801" s="26" t="s">
        <v>475</v>
      </c>
      <c r="D801" s="27">
        <v>35906</v>
      </c>
      <c r="E801" s="27"/>
      <c r="F801" s="26" t="s">
        <v>136</v>
      </c>
      <c r="G801" s="28">
        <v>71.5</v>
      </c>
      <c r="H801" s="29" t="s">
        <v>208</v>
      </c>
    </row>
    <row r="802" spans="1:8">
      <c r="A802" s="20">
        <v>11040</v>
      </c>
      <c r="B802" s="21" t="s">
        <v>215</v>
      </c>
      <c r="C802" s="21" t="s">
        <v>472</v>
      </c>
      <c r="D802" s="22">
        <v>35907</v>
      </c>
      <c r="E802" s="22"/>
      <c r="F802" s="21" t="s">
        <v>243</v>
      </c>
      <c r="G802" s="23">
        <v>20.724</v>
      </c>
      <c r="H802" s="24" t="s">
        <v>145</v>
      </c>
    </row>
    <row r="803" spans="1:8">
      <c r="A803" s="25">
        <v>11041</v>
      </c>
      <c r="B803" s="26" t="s">
        <v>140</v>
      </c>
      <c r="C803" s="26" t="s">
        <v>473</v>
      </c>
      <c r="D803" s="27">
        <v>35907</v>
      </c>
      <c r="E803" s="27">
        <v>35913</v>
      </c>
      <c r="F803" s="26" t="s">
        <v>136</v>
      </c>
      <c r="G803" s="28">
        <v>53.042</v>
      </c>
      <c r="H803" s="29" t="s">
        <v>141</v>
      </c>
    </row>
    <row r="804" spans="1:8">
      <c r="A804" s="20">
        <v>11042</v>
      </c>
      <c r="B804" s="21" t="s">
        <v>210</v>
      </c>
      <c r="C804" s="21" t="s">
        <v>477</v>
      </c>
      <c r="D804" s="22">
        <v>35907</v>
      </c>
      <c r="E804" s="22">
        <v>35916</v>
      </c>
      <c r="F804" s="21" t="s">
        <v>249</v>
      </c>
      <c r="G804" s="23">
        <v>32.989</v>
      </c>
      <c r="H804" s="24" t="s">
        <v>137</v>
      </c>
    </row>
    <row r="805" spans="1:8">
      <c r="A805" s="25">
        <v>11043</v>
      </c>
      <c r="B805" s="26" t="s">
        <v>237</v>
      </c>
      <c r="C805" s="26" t="s">
        <v>470</v>
      </c>
      <c r="D805" s="27">
        <v>35907</v>
      </c>
      <c r="E805" s="27">
        <v>35914</v>
      </c>
      <c r="F805" s="26" t="s">
        <v>136</v>
      </c>
      <c r="G805" s="28">
        <v>9.68</v>
      </c>
      <c r="H805" s="29" t="s">
        <v>154</v>
      </c>
    </row>
    <row r="806" spans="1:8">
      <c r="A806" s="20">
        <v>11044</v>
      </c>
      <c r="B806" s="21" t="s">
        <v>224</v>
      </c>
      <c r="C806" s="21" t="s">
        <v>472</v>
      </c>
      <c r="D806" s="22">
        <v>35908</v>
      </c>
      <c r="E806" s="22">
        <v>35916</v>
      </c>
      <c r="F806" s="21" t="s">
        <v>249</v>
      </c>
      <c r="G806" s="23">
        <v>9.592</v>
      </c>
      <c r="H806" s="24" t="s">
        <v>226</v>
      </c>
    </row>
    <row r="807" spans="1:8">
      <c r="A807" s="25">
        <v>11045</v>
      </c>
      <c r="B807" s="26" t="s">
        <v>188</v>
      </c>
      <c r="C807" s="26" t="s">
        <v>471</v>
      </c>
      <c r="D807" s="27">
        <v>35908</v>
      </c>
      <c r="E807" s="27"/>
      <c r="F807" s="26" t="s">
        <v>136</v>
      </c>
      <c r="G807" s="28">
        <v>77.638</v>
      </c>
      <c r="H807" s="29" t="s">
        <v>172</v>
      </c>
    </row>
    <row r="808" spans="1:8">
      <c r="A808" s="20">
        <v>11046</v>
      </c>
      <c r="B808" s="21" t="s">
        <v>161</v>
      </c>
      <c r="C808" s="21" t="s">
        <v>476</v>
      </c>
      <c r="D808" s="22">
        <v>35908</v>
      </c>
      <c r="E808" s="22">
        <v>35909</v>
      </c>
      <c r="F808" s="21" t="s">
        <v>136</v>
      </c>
      <c r="G808" s="23">
        <v>78.804</v>
      </c>
      <c r="H808" s="24" t="s">
        <v>150</v>
      </c>
    </row>
    <row r="809" spans="1:8">
      <c r="A809" s="25">
        <v>11047</v>
      </c>
      <c r="B809" s="26" t="s">
        <v>240</v>
      </c>
      <c r="C809" s="26" t="s">
        <v>478</v>
      </c>
      <c r="D809" s="27">
        <v>35909</v>
      </c>
      <c r="E809" s="27">
        <v>35916</v>
      </c>
      <c r="F809" s="26" t="s">
        <v>243</v>
      </c>
      <c r="G809" s="28">
        <v>51.282</v>
      </c>
      <c r="H809" s="29" t="s">
        <v>169</v>
      </c>
    </row>
    <row r="810" spans="1:8">
      <c r="A810" s="20">
        <v>11048</v>
      </c>
      <c r="B810" s="21" t="s">
        <v>188</v>
      </c>
      <c r="C810" s="21" t="s">
        <v>478</v>
      </c>
      <c r="D810" s="22">
        <v>35909</v>
      </c>
      <c r="E810" s="22">
        <v>35915</v>
      </c>
      <c r="F810" s="21" t="s">
        <v>243</v>
      </c>
      <c r="G810" s="23">
        <v>26.532</v>
      </c>
      <c r="H810" s="24" t="s">
        <v>172</v>
      </c>
    </row>
    <row r="811" spans="1:8">
      <c r="A811" s="25">
        <v>11049</v>
      </c>
      <c r="B811" s="26" t="s">
        <v>228</v>
      </c>
      <c r="C811" s="26" t="s">
        <v>473</v>
      </c>
      <c r="D811" s="27">
        <v>35909</v>
      </c>
      <c r="E811" s="27">
        <v>35919</v>
      </c>
      <c r="F811" s="26" t="s">
        <v>249</v>
      </c>
      <c r="G811" s="28">
        <v>9.174</v>
      </c>
      <c r="H811" s="29" t="s">
        <v>137</v>
      </c>
    </row>
    <row r="812" spans="1:8">
      <c r="A812" s="20">
        <v>11050</v>
      </c>
      <c r="B812" s="21" t="s">
        <v>194</v>
      </c>
      <c r="C812" s="21" t="s">
        <v>476</v>
      </c>
      <c r="D812" s="22">
        <v>35912</v>
      </c>
      <c r="E812" s="22">
        <v>35920</v>
      </c>
      <c r="F812" s="21" t="s">
        <v>136</v>
      </c>
      <c r="G812" s="23">
        <v>65.351</v>
      </c>
      <c r="H812" s="24" t="s">
        <v>148</v>
      </c>
    </row>
    <row r="813" spans="1:8">
      <c r="A813" s="25">
        <v>11051</v>
      </c>
      <c r="B813" s="26" t="s">
        <v>178</v>
      </c>
      <c r="C813" s="26" t="s">
        <v>478</v>
      </c>
      <c r="D813" s="27">
        <v>35912</v>
      </c>
      <c r="E813" s="27"/>
      <c r="F813" s="26" t="s">
        <v>243</v>
      </c>
      <c r="G813" s="28">
        <v>3.069</v>
      </c>
      <c r="H813" s="29" t="s">
        <v>154</v>
      </c>
    </row>
    <row r="814" spans="1:8">
      <c r="A814" s="20">
        <v>11052</v>
      </c>
      <c r="B814" s="21" t="s">
        <v>135</v>
      </c>
      <c r="C814" s="21" t="s">
        <v>473</v>
      </c>
      <c r="D814" s="22">
        <v>35912</v>
      </c>
      <c r="E814" s="22">
        <v>35916</v>
      </c>
      <c r="F814" s="21" t="s">
        <v>249</v>
      </c>
      <c r="G814" s="23">
        <v>73.986</v>
      </c>
      <c r="H814" s="24" t="s">
        <v>137</v>
      </c>
    </row>
    <row r="815" spans="1:8">
      <c r="A815" s="25">
        <v>11053</v>
      </c>
      <c r="B815" s="26" t="s">
        <v>193</v>
      </c>
      <c r="C815" s="26" t="s">
        <v>477</v>
      </c>
      <c r="D815" s="27">
        <v>35912</v>
      </c>
      <c r="E815" s="27">
        <v>35914</v>
      </c>
      <c r="F815" s="26" t="s">
        <v>136</v>
      </c>
      <c r="G815" s="28">
        <v>58.355</v>
      </c>
      <c r="H815" s="29" t="s">
        <v>183</v>
      </c>
    </row>
    <row r="816" spans="1:8">
      <c r="A816" s="20">
        <v>11054</v>
      </c>
      <c r="B816" s="21" t="s">
        <v>213</v>
      </c>
      <c r="C816" s="21" t="s">
        <v>476</v>
      </c>
      <c r="D816" s="22">
        <v>35913</v>
      </c>
      <c r="E816" s="22"/>
      <c r="F816" s="21" t="s">
        <v>249</v>
      </c>
      <c r="G816" s="23">
        <v>0.363</v>
      </c>
      <c r="H816" s="24" t="s">
        <v>200</v>
      </c>
    </row>
    <row r="817" spans="1:8">
      <c r="A817" s="25">
        <v>11055</v>
      </c>
      <c r="B817" s="26" t="s">
        <v>209</v>
      </c>
      <c r="C817" s="26" t="s">
        <v>478</v>
      </c>
      <c r="D817" s="27">
        <v>35913</v>
      </c>
      <c r="E817" s="27">
        <v>35920</v>
      </c>
      <c r="F817" s="26" t="s">
        <v>136</v>
      </c>
      <c r="G817" s="28">
        <v>133.012</v>
      </c>
      <c r="H817" s="29" t="s">
        <v>208</v>
      </c>
    </row>
    <row r="818" spans="1:8">
      <c r="A818" s="20">
        <v>11056</v>
      </c>
      <c r="B818" s="21" t="s">
        <v>240</v>
      </c>
      <c r="C818" s="21" t="s">
        <v>476</v>
      </c>
      <c r="D818" s="22">
        <v>35913</v>
      </c>
      <c r="E818" s="22">
        <v>35916</v>
      </c>
      <c r="F818" s="21" t="s">
        <v>136</v>
      </c>
      <c r="G818" s="23">
        <v>306.856</v>
      </c>
      <c r="H818" s="24" t="s">
        <v>169</v>
      </c>
    </row>
    <row r="819" spans="1:8">
      <c r="A819" s="25">
        <v>11057</v>
      </c>
      <c r="B819" s="26" t="s">
        <v>248</v>
      </c>
      <c r="C819" s="26" t="s">
        <v>473</v>
      </c>
      <c r="D819" s="27">
        <v>35914</v>
      </c>
      <c r="E819" s="27">
        <v>35916</v>
      </c>
      <c r="F819" s="26" t="s">
        <v>243</v>
      </c>
      <c r="G819" s="28">
        <v>4.543</v>
      </c>
      <c r="H819" s="29" t="s">
        <v>169</v>
      </c>
    </row>
    <row r="820" spans="1:8">
      <c r="A820" s="20">
        <v>11058</v>
      </c>
      <c r="B820" s="21" t="s">
        <v>220</v>
      </c>
      <c r="C820" s="21" t="s">
        <v>474</v>
      </c>
      <c r="D820" s="22">
        <v>35914</v>
      </c>
      <c r="E820" s="22"/>
      <c r="F820" s="21" t="s">
        <v>243</v>
      </c>
      <c r="G820" s="23">
        <v>34.254</v>
      </c>
      <c r="H820" s="24" t="s">
        <v>150</v>
      </c>
    </row>
    <row r="821" spans="1:8">
      <c r="A821" s="25">
        <v>11059</v>
      </c>
      <c r="B821" s="26" t="s">
        <v>158</v>
      </c>
      <c r="C821" s="26" t="s">
        <v>477</v>
      </c>
      <c r="D821" s="27">
        <v>35914</v>
      </c>
      <c r="E821" s="27"/>
      <c r="F821" s="26" t="s">
        <v>136</v>
      </c>
      <c r="G821" s="28">
        <v>94.38</v>
      </c>
      <c r="H821" s="29" t="s">
        <v>137</v>
      </c>
    </row>
    <row r="822" spans="1:8">
      <c r="A822" s="20">
        <v>11060</v>
      </c>
      <c r="B822" s="21" t="s">
        <v>241</v>
      </c>
      <c r="C822" s="21" t="s">
        <v>477</v>
      </c>
      <c r="D822" s="22">
        <v>35915</v>
      </c>
      <c r="E822" s="22">
        <v>35919</v>
      </c>
      <c r="F822" s="21" t="s">
        <v>136</v>
      </c>
      <c r="G822" s="23">
        <v>12.078</v>
      </c>
      <c r="H822" s="24" t="s">
        <v>160</v>
      </c>
    </row>
    <row r="823" spans="1:8">
      <c r="A823" s="25">
        <v>11061</v>
      </c>
      <c r="B823" s="26" t="s">
        <v>215</v>
      </c>
      <c r="C823" s="26" t="s">
        <v>472</v>
      </c>
      <c r="D823" s="27">
        <v>35915</v>
      </c>
      <c r="E823" s="27"/>
      <c r="F823" s="26" t="s">
        <v>243</v>
      </c>
      <c r="G823" s="28">
        <v>15.411</v>
      </c>
      <c r="H823" s="29" t="s">
        <v>145</v>
      </c>
    </row>
    <row r="824" spans="1:8">
      <c r="A824" s="20">
        <v>11062</v>
      </c>
      <c r="B824" s="21" t="s">
        <v>229</v>
      </c>
      <c r="C824" s="21" t="s">
        <v>472</v>
      </c>
      <c r="D824" s="22">
        <v>35915</v>
      </c>
      <c r="E824" s="22"/>
      <c r="F824" s="21" t="s">
        <v>136</v>
      </c>
      <c r="G824" s="23">
        <v>32.923</v>
      </c>
      <c r="H824" s="24" t="s">
        <v>160</v>
      </c>
    </row>
    <row r="825" spans="1:8">
      <c r="A825" s="25">
        <v>11063</v>
      </c>
      <c r="B825" s="26" t="s">
        <v>156</v>
      </c>
      <c r="C825" s="26" t="s">
        <v>473</v>
      </c>
      <c r="D825" s="27">
        <v>35915</v>
      </c>
      <c r="E825" s="27">
        <v>35921</v>
      </c>
      <c r="F825" s="26" t="s">
        <v>136</v>
      </c>
      <c r="G825" s="28">
        <v>89.903</v>
      </c>
      <c r="H825" s="29" t="s">
        <v>157</v>
      </c>
    </row>
    <row r="826" spans="1:8">
      <c r="A826" s="20">
        <v>11064</v>
      </c>
      <c r="B826" s="21" t="s">
        <v>197</v>
      </c>
      <c r="C826" s="21" t="s">
        <v>475</v>
      </c>
      <c r="D826" s="22">
        <v>35916</v>
      </c>
      <c r="E826" s="22">
        <v>35919</v>
      </c>
      <c r="F826" s="21" t="s">
        <v>249</v>
      </c>
      <c r="G826" s="23">
        <v>33.099</v>
      </c>
      <c r="H826" s="24" t="s">
        <v>145</v>
      </c>
    </row>
    <row r="827" spans="1:8">
      <c r="A827" s="25">
        <v>11065</v>
      </c>
      <c r="B827" s="26" t="s">
        <v>211</v>
      </c>
      <c r="C827" s="26" t="s">
        <v>476</v>
      </c>
      <c r="D827" s="27">
        <v>35916</v>
      </c>
      <c r="E827" s="27"/>
      <c r="F827" s="26" t="s">
        <v>249</v>
      </c>
      <c r="G827" s="28">
        <v>14.201</v>
      </c>
      <c r="H827" s="29" t="s">
        <v>208</v>
      </c>
    </row>
    <row r="828" spans="1:8">
      <c r="A828" s="20">
        <v>11066</v>
      </c>
      <c r="B828" s="21" t="s">
        <v>177</v>
      </c>
      <c r="C828" s="21" t="s">
        <v>478</v>
      </c>
      <c r="D828" s="22">
        <v>35916</v>
      </c>
      <c r="E828" s="22">
        <v>35919</v>
      </c>
      <c r="F828" s="21" t="s">
        <v>136</v>
      </c>
      <c r="G828" s="23">
        <v>49.192</v>
      </c>
      <c r="H828" s="24" t="s">
        <v>145</v>
      </c>
    </row>
    <row r="829" spans="1:8">
      <c r="A829" s="25">
        <v>11067</v>
      </c>
      <c r="B829" s="26" t="s">
        <v>232</v>
      </c>
      <c r="C829" s="26" t="s">
        <v>475</v>
      </c>
      <c r="D829" s="27">
        <v>35919</v>
      </c>
      <c r="E829" s="27">
        <v>35921</v>
      </c>
      <c r="F829" s="26" t="s">
        <v>136</v>
      </c>
      <c r="G829" s="28">
        <v>8.778</v>
      </c>
      <c r="H829" s="29" t="s">
        <v>150</v>
      </c>
    </row>
    <row r="830" spans="1:8">
      <c r="A830" s="20">
        <v>11068</v>
      </c>
      <c r="B830" s="21" t="s">
        <v>184</v>
      </c>
      <c r="C830" s="21" t="s">
        <v>476</v>
      </c>
      <c r="D830" s="22">
        <v>35919</v>
      </c>
      <c r="E830" s="22"/>
      <c r="F830" s="21" t="s">
        <v>136</v>
      </c>
      <c r="G830" s="23">
        <v>89.925</v>
      </c>
      <c r="H830" s="24" t="s">
        <v>137</v>
      </c>
    </row>
    <row r="831" spans="1:8">
      <c r="A831" s="25">
        <v>11069</v>
      </c>
      <c r="B831" s="26" t="s">
        <v>164</v>
      </c>
      <c r="C831" s="26" t="s">
        <v>475</v>
      </c>
      <c r="D831" s="27">
        <v>35919</v>
      </c>
      <c r="E831" s="27">
        <v>35921</v>
      </c>
      <c r="F831" s="26" t="s">
        <v>136</v>
      </c>
      <c r="G831" s="28">
        <v>17.237</v>
      </c>
      <c r="H831" s="29" t="s">
        <v>165</v>
      </c>
    </row>
    <row r="832" spans="1:8">
      <c r="A832" s="20">
        <v>11070</v>
      </c>
      <c r="B832" s="21" t="s">
        <v>149</v>
      </c>
      <c r="C832" s="21" t="s">
        <v>477</v>
      </c>
      <c r="D832" s="22">
        <v>35920</v>
      </c>
      <c r="E832" s="22"/>
      <c r="F832" s="21" t="s">
        <v>249</v>
      </c>
      <c r="G832" s="23">
        <v>149.6</v>
      </c>
      <c r="H832" s="24" t="s">
        <v>150</v>
      </c>
    </row>
    <row r="833" spans="1:8">
      <c r="A833" s="25">
        <v>11071</v>
      </c>
      <c r="B833" s="26" t="s">
        <v>211</v>
      </c>
      <c r="C833" s="26" t="s">
        <v>475</v>
      </c>
      <c r="D833" s="27">
        <v>35920</v>
      </c>
      <c r="E833" s="27"/>
      <c r="F833" s="26" t="s">
        <v>249</v>
      </c>
      <c r="G833" s="28">
        <v>1.023</v>
      </c>
      <c r="H833" s="29" t="s">
        <v>208</v>
      </c>
    </row>
    <row r="834" spans="1:8">
      <c r="A834" s="20">
        <v>11072</v>
      </c>
      <c r="B834" s="21" t="s">
        <v>182</v>
      </c>
      <c r="C834" s="21" t="s">
        <v>472</v>
      </c>
      <c r="D834" s="22">
        <v>35920</v>
      </c>
      <c r="E834" s="22"/>
      <c r="F834" s="21" t="s">
        <v>136</v>
      </c>
      <c r="G834" s="23">
        <v>284.504</v>
      </c>
      <c r="H834" s="24" t="s">
        <v>183</v>
      </c>
    </row>
    <row r="835" spans="1:8">
      <c r="A835" s="25">
        <v>11073</v>
      </c>
      <c r="B835" s="26" t="s">
        <v>205</v>
      </c>
      <c r="C835" s="26" t="s">
        <v>477</v>
      </c>
      <c r="D835" s="27">
        <v>35920</v>
      </c>
      <c r="E835" s="27"/>
      <c r="F835" s="26" t="s">
        <v>136</v>
      </c>
      <c r="G835" s="28">
        <v>27.445</v>
      </c>
      <c r="H835" s="29" t="s">
        <v>165</v>
      </c>
    </row>
    <row r="836" spans="1:8">
      <c r="A836" s="20">
        <v>11074</v>
      </c>
      <c r="B836" s="21" t="s">
        <v>233</v>
      </c>
      <c r="C836" s="21" t="s">
        <v>478</v>
      </c>
      <c r="D836" s="22">
        <v>35921</v>
      </c>
      <c r="E836" s="22"/>
      <c r="F836" s="21" t="s">
        <v>136</v>
      </c>
      <c r="G836" s="23">
        <v>20.284</v>
      </c>
      <c r="H836" s="24" t="s">
        <v>222</v>
      </c>
    </row>
    <row r="837" spans="1:8">
      <c r="A837" s="25">
        <v>11075</v>
      </c>
      <c r="B837" s="26" t="s">
        <v>192</v>
      </c>
      <c r="C837" s="26" t="s">
        <v>476</v>
      </c>
      <c r="D837" s="27">
        <v>35921</v>
      </c>
      <c r="E837" s="27"/>
      <c r="F837" s="26" t="s">
        <v>136</v>
      </c>
      <c r="G837" s="28">
        <v>6.809</v>
      </c>
      <c r="H837" s="29" t="s">
        <v>141</v>
      </c>
    </row>
    <row r="838" spans="1:8">
      <c r="A838" s="20">
        <v>11076</v>
      </c>
      <c r="B838" s="21" t="s">
        <v>204</v>
      </c>
      <c r="C838" s="21" t="s">
        <v>472</v>
      </c>
      <c r="D838" s="22">
        <v>35921</v>
      </c>
      <c r="E838" s="22"/>
      <c r="F838" s="21" t="s">
        <v>136</v>
      </c>
      <c r="G838" s="23">
        <v>42.108</v>
      </c>
      <c r="H838" s="24" t="s">
        <v>154</v>
      </c>
    </row>
    <row r="839" ht="15.15" spans="1:8">
      <c r="A839" s="25">
        <v>11077</v>
      </c>
      <c r="B839" s="26" t="s">
        <v>146</v>
      </c>
      <c r="C839" s="26" t="s">
        <v>475</v>
      </c>
      <c r="D839" s="27">
        <v>35921</v>
      </c>
      <c r="E839" s="27"/>
      <c r="F839" s="26" t="s">
        <v>136</v>
      </c>
      <c r="G839" s="28">
        <v>9.383</v>
      </c>
      <c r="H839" s="29" t="s">
        <v>145</v>
      </c>
    </row>
    <row r="840" ht="15.15" spans="1:8">
      <c r="A840" s="30" t="s">
        <v>479</v>
      </c>
      <c r="B840" s="31"/>
      <c r="C840" s="31"/>
      <c r="D840" s="31"/>
      <c r="E840" s="31"/>
      <c r="F840" s="31"/>
      <c r="G840" s="31"/>
      <c r="H840" s="32">
        <f>SUBTOTAL(103,'ORDER DATA (PIVOTTABLE)'!$H$10:$H$839)</f>
        <v>830</v>
      </c>
    </row>
  </sheetData>
  <mergeCells count="1">
    <mergeCell ref="B1:G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26"/>
  <sheetViews>
    <sheetView tabSelected="1" zoomScale="69" zoomScaleNormal="69" workbookViewId="0">
      <selection activeCell="P29" sqref="P29"/>
    </sheetView>
  </sheetViews>
  <sheetFormatPr defaultColWidth="9" defaultRowHeight="14.4"/>
  <cols>
    <col min="1" max="1" width="3.55555555555556" customWidth="1"/>
    <col min="2" max="2" width="14.1111111111111" customWidth="1"/>
    <col min="3" max="3" width="12.2222222222222" customWidth="1"/>
    <col min="4" max="4" width="18.1111111111111" customWidth="1"/>
    <col min="14" max="14" width="4" customWidth="1"/>
  </cols>
  <sheetData>
    <row r="1" spans="2:17">
      <c r="B1" t="s">
        <v>128</v>
      </c>
      <c r="C1" t="s">
        <v>480</v>
      </c>
    </row>
    <row r="2" ht="15.15"/>
    <row r="3" ht="15.15" spans="2:17">
      <c r="B3" t="s">
        <v>464</v>
      </c>
      <c r="C3" t="s">
        <v>481</v>
      </c>
      <c r="E3" s="1"/>
      <c r="F3" s="2"/>
      <c r="G3" s="2"/>
      <c r="H3" s="2"/>
      <c r="I3" s="2"/>
      <c r="J3" s="2"/>
      <c r="K3" s="2"/>
      <c r="L3" s="2"/>
      <c r="M3" s="3"/>
      <c r="O3" s="4" t="s">
        <v>482</v>
      </c>
      <c r="P3" s="5"/>
      <c r="Q3" s="5"/>
    </row>
    <row r="4" spans="2:17">
      <c r="B4" s="6" t="s">
        <v>200</v>
      </c>
      <c r="C4" s="7">
        <v>144.804</v>
      </c>
      <c r="E4" s="8"/>
      <c r="F4" s="9"/>
      <c r="G4" s="9"/>
      <c r="H4" s="9"/>
      <c r="I4" s="9"/>
      <c r="J4" s="9"/>
      <c r="K4" s="9"/>
      <c r="L4" s="9"/>
      <c r="M4" s="10"/>
      <c r="O4" s="11"/>
      <c r="P4" s="12"/>
      <c r="Q4" s="12"/>
    </row>
    <row r="5" spans="2:17">
      <c r="B5" s="6" t="s">
        <v>183</v>
      </c>
      <c r="C5" s="7">
        <v>2440.427</v>
      </c>
      <c r="E5" s="8"/>
      <c r="F5" s="9"/>
      <c r="G5" s="9"/>
      <c r="H5" s="9"/>
      <c r="I5" s="9"/>
      <c r="J5" s="9"/>
      <c r="K5" s="9"/>
      <c r="L5" s="9"/>
      <c r="M5" s="10"/>
      <c r="O5" s="11"/>
      <c r="P5" s="12"/>
      <c r="Q5" s="12"/>
    </row>
    <row r="6" spans="2:17">
      <c r="B6" s="6" t="s">
        <v>139</v>
      </c>
      <c r="C6" s="7">
        <v>295.9</v>
      </c>
      <c r="E6" s="8"/>
      <c r="F6" s="9"/>
      <c r="G6" s="9"/>
      <c r="H6" s="9"/>
      <c r="I6" s="9"/>
      <c r="J6" s="9"/>
      <c r="K6" s="9"/>
      <c r="L6" s="9"/>
      <c r="M6" s="10"/>
      <c r="O6" s="11"/>
      <c r="P6" s="12"/>
      <c r="Q6" s="12"/>
    </row>
    <row r="7" spans="2:17">
      <c r="B7" s="6" t="s">
        <v>137</v>
      </c>
      <c r="C7" s="7">
        <v>1697.212</v>
      </c>
      <c r="E7" s="8"/>
      <c r="F7" s="9"/>
      <c r="G7" s="9"/>
      <c r="H7" s="9"/>
      <c r="I7" s="9"/>
      <c r="J7" s="9"/>
      <c r="K7" s="9"/>
      <c r="L7" s="9"/>
      <c r="M7" s="10"/>
      <c r="O7" s="11"/>
      <c r="P7" s="12"/>
      <c r="Q7" s="12"/>
    </row>
    <row r="8" spans="2:17">
      <c r="B8" s="6" t="s">
        <v>172</v>
      </c>
      <c r="C8" s="7">
        <v>312.51</v>
      </c>
      <c r="E8" s="8"/>
      <c r="F8" s="9"/>
      <c r="G8" s="9"/>
      <c r="H8" s="9"/>
      <c r="I8" s="9"/>
      <c r="J8" s="9"/>
      <c r="K8" s="9"/>
      <c r="L8" s="9"/>
      <c r="M8" s="10"/>
      <c r="O8" s="11"/>
      <c r="P8" s="12"/>
      <c r="Q8" s="12"/>
    </row>
    <row r="9" spans="2:17">
      <c r="B9" s="6" t="s">
        <v>222</v>
      </c>
      <c r="C9" s="7">
        <v>440.924</v>
      </c>
      <c r="E9" s="8"/>
      <c r="F9" s="9"/>
      <c r="G9" s="9"/>
      <c r="H9" s="9"/>
      <c r="I9" s="9"/>
      <c r="J9" s="9"/>
      <c r="K9" s="9"/>
      <c r="L9" s="9"/>
      <c r="M9" s="10"/>
      <c r="O9" s="11"/>
      <c r="P9" s="12"/>
      <c r="Q9" s="12"/>
    </row>
    <row r="10" ht="15.15" spans="2:17">
      <c r="B10" s="6" t="s">
        <v>191</v>
      </c>
      <c r="C10" s="7">
        <v>305.811</v>
      </c>
      <c r="E10" s="8"/>
      <c r="F10" s="9"/>
      <c r="G10" s="9"/>
      <c r="H10" s="9"/>
      <c r="I10" s="9"/>
      <c r="J10" s="9"/>
      <c r="K10" s="9"/>
      <c r="L10" s="9"/>
      <c r="M10" s="10"/>
    </row>
    <row r="11" ht="15.15" spans="2:17">
      <c r="B11" s="6" t="s">
        <v>154</v>
      </c>
      <c r="C11" s="7">
        <v>1264.978</v>
      </c>
      <c r="E11" s="8"/>
      <c r="F11" s="9"/>
      <c r="G11" s="9"/>
      <c r="H11" s="9"/>
      <c r="I11" s="9"/>
      <c r="J11" s="9"/>
      <c r="K11" s="9"/>
      <c r="L11" s="9"/>
      <c r="M11" s="10"/>
      <c r="O11" s="4" t="s">
        <v>483</v>
      </c>
      <c r="P11" s="5"/>
      <c r="Q11" s="5"/>
    </row>
    <row r="12" spans="2:17">
      <c r="B12" s="6" t="s">
        <v>150</v>
      </c>
      <c r="C12" s="7">
        <v>3889.556</v>
      </c>
      <c r="E12" s="8"/>
      <c r="F12" s="9"/>
      <c r="G12" s="9"/>
      <c r="H12" s="9"/>
      <c r="I12" s="9"/>
      <c r="J12" s="9"/>
      <c r="K12" s="9"/>
      <c r="L12" s="9"/>
      <c r="M12" s="10"/>
      <c r="O12" s="11"/>
      <c r="P12" s="12"/>
      <c r="Q12" s="12"/>
    </row>
    <row r="13" spans="2:17">
      <c r="B13" s="6" t="s">
        <v>157</v>
      </c>
      <c r="C13" s="7">
        <v>288.981</v>
      </c>
      <c r="E13" s="8"/>
      <c r="F13" s="9"/>
      <c r="G13" s="9"/>
      <c r="H13" s="9"/>
      <c r="I13" s="9"/>
      <c r="J13" s="9"/>
      <c r="K13" s="9"/>
      <c r="L13" s="9"/>
      <c r="M13" s="10"/>
      <c r="O13" s="11"/>
      <c r="P13" s="12"/>
      <c r="Q13" s="12"/>
    </row>
    <row r="14" spans="2:17">
      <c r="B14" s="6" t="s">
        <v>160</v>
      </c>
      <c r="C14" s="7">
        <v>497.915</v>
      </c>
      <c r="E14" s="8"/>
      <c r="F14" s="9"/>
      <c r="G14" s="9"/>
      <c r="H14" s="9"/>
      <c r="I14" s="9"/>
      <c r="J14" s="9"/>
      <c r="K14" s="9"/>
      <c r="L14" s="9"/>
      <c r="M14" s="10"/>
      <c r="O14" s="11"/>
      <c r="P14" s="12"/>
      <c r="Q14" s="12"/>
    </row>
    <row r="15" spans="2:17">
      <c r="B15" s="6" t="s">
        <v>165</v>
      </c>
      <c r="C15" s="7">
        <v>193.941</v>
      </c>
      <c r="E15" s="8"/>
      <c r="F15" s="9"/>
      <c r="G15" s="9"/>
      <c r="H15" s="9"/>
      <c r="I15" s="9"/>
      <c r="J15" s="9"/>
      <c r="K15" s="9"/>
      <c r="L15" s="9"/>
      <c r="M15" s="10"/>
      <c r="O15" s="11"/>
      <c r="P15" s="12"/>
      <c r="Q15" s="12"/>
    </row>
    <row r="16" spans="2:17">
      <c r="B16" s="6" t="s">
        <v>187</v>
      </c>
      <c r="C16" s="7">
        <v>14.707</v>
      </c>
      <c r="E16" s="8"/>
      <c r="F16" s="9"/>
      <c r="G16" s="9"/>
      <c r="H16" s="9"/>
      <c r="I16" s="9"/>
      <c r="J16" s="9"/>
      <c r="K16" s="9"/>
      <c r="L16" s="9"/>
      <c r="M16" s="10"/>
      <c r="O16" s="11"/>
      <c r="P16" s="12"/>
      <c r="Q16" s="12"/>
    </row>
    <row r="17" spans="2:17">
      <c r="B17" s="6" t="s">
        <v>226</v>
      </c>
      <c r="C17" s="7">
        <v>9.592</v>
      </c>
      <c r="E17" s="8"/>
      <c r="F17" s="9"/>
      <c r="G17" s="9"/>
      <c r="H17" s="9"/>
      <c r="I17" s="9"/>
      <c r="J17" s="9"/>
      <c r="K17" s="9"/>
      <c r="L17" s="9"/>
      <c r="M17" s="10"/>
      <c r="O17" s="11"/>
      <c r="P17" s="12"/>
      <c r="Q17" s="12"/>
    </row>
    <row r="18" spans="2:17">
      <c r="B18" s="6" t="s">
        <v>175</v>
      </c>
      <c r="C18" s="7">
        <v>74.492</v>
      </c>
      <c r="E18" s="8"/>
      <c r="F18" s="9"/>
      <c r="G18" s="9"/>
      <c r="H18" s="9"/>
      <c r="I18" s="9"/>
      <c r="J18" s="9"/>
      <c r="K18" s="9"/>
      <c r="L18" s="9"/>
      <c r="M18" s="10"/>
    </row>
    <row r="19" spans="2:17">
      <c r="B19" s="6" t="s">
        <v>163</v>
      </c>
      <c r="C19" s="7">
        <v>203.863</v>
      </c>
      <c r="E19" s="8"/>
      <c r="F19" s="9"/>
      <c r="G19" s="9"/>
      <c r="H19" s="9"/>
      <c r="I19" s="9"/>
      <c r="J19" s="9"/>
      <c r="K19" s="9"/>
      <c r="L19" s="9"/>
      <c r="M19" s="10"/>
    </row>
    <row r="20" spans="2:17">
      <c r="B20" s="6" t="s">
        <v>148</v>
      </c>
      <c r="C20" s="7">
        <v>1065.57</v>
      </c>
      <c r="E20" s="8"/>
      <c r="F20" s="9"/>
      <c r="G20" s="9"/>
      <c r="H20" s="9"/>
      <c r="I20" s="9"/>
      <c r="J20" s="9"/>
      <c r="K20" s="9"/>
      <c r="L20" s="9"/>
      <c r="M20" s="10"/>
    </row>
    <row r="21" spans="2:17">
      <c r="B21" s="6" t="s">
        <v>141</v>
      </c>
      <c r="C21" s="7">
        <v>300.861</v>
      </c>
      <c r="E21" s="8"/>
      <c r="F21" s="9"/>
      <c r="G21" s="9"/>
      <c r="H21" s="9"/>
      <c r="I21" s="9"/>
      <c r="J21" s="9"/>
      <c r="K21" s="9"/>
      <c r="L21" s="9"/>
      <c r="M21" s="10"/>
    </row>
    <row r="22" spans="2:17">
      <c r="B22" s="6" t="s">
        <v>169</v>
      </c>
      <c r="C22" s="7">
        <v>809.468</v>
      </c>
      <c r="E22" s="8"/>
      <c r="F22" s="9"/>
      <c r="G22" s="9"/>
      <c r="H22" s="9"/>
      <c r="I22" s="9"/>
      <c r="J22" s="9"/>
      <c r="K22" s="9"/>
      <c r="L22" s="9"/>
      <c r="M22" s="10"/>
    </row>
    <row r="23" spans="2:17">
      <c r="B23" s="6" t="s">
        <v>145</v>
      </c>
      <c r="C23" s="7">
        <v>2524.192</v>
      </c>
      <c r="E23" s="8"/>
      <c r="F23" s="9"/>
      <c r="G23" s="9"/>
      <c r="H23" s="9"/>
      <c r="I23" s="9"/>
      <c r="J23" s="9"/>
      <c r="K23" s="9"/>
      <c r="L23" s="9"/>
      <c r="M23" s="10"/>
    </row>
    <row r="24" spans="2:17">
      <c r="B24" s="6" t="s">
        <v>208</v>
      </c>
      <c r="C24" s="7">
        <v>888.25</v>
      </c>
      <c r="E24" s="8"/>
      <c r="F24" s="9"/>
      <c r="G24" s="9"/>
      <c r="H24" s="9"/>
      <c r="I24" s="9"/>
      <c r="J24" s="9"/>
      <c r="K24" s="9"/>
      <c r="L24" s="9"/>
      <c r="M24" s="10"/>
    </row>
    <row r="25" ht="15.15" spans="2:17">
      <c r="B25" s="6" t="s">
        <v>427</v>
      </c>
      <c r="C25" s="7">
        <v>17663.954</v>
      </c>
      <c r="E25" s="13"/>
      <c r="F25" s="14"/>
      <c r="G25" s="14"/>
      <c r="H25" s="14"/>
      <c r="I25" s="14"/>
      <c r="J25" s="14"/>
      <c r="K25" s="14"/>
      <c r="L25" s="14"/>
      <c r="M25" s="15"/>
    </row>
    <row r="26" ht="15.15"/>
  </sheetData>
  <mergeCells count="3">
    <mergeCell ref="E3:M25"/>
    <mergeCell ref="O11:Q17"/>
    <mergeCell ref="O3:Q9"/>
  </mergeCells>
  <pageMargins left="0.7" right="0.7" top="0.75" bottom="0.75" header="0.3" footer="0.3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DmWnl8SeCT5Fisxn/+kojAAAAAAIAAAAAABBmAAAAAQAAIAAAAFJIqqAOQNWExMuYaKNvYt4HeVMYfj12VRZETp9Z6rPFAAAAAA6AAAAAAgAAIAAAABwNJ6kXbKA81o3VFK+OwL0+nn3bQMO6jl4+lUfrF1FuUAAAAAh8xh0iNhRvm3dxy60tPTGUBd7RaFRDcZOSZIRwntm0TaFsWvCRzOMqhlm0AddgoirSO92XdVMZq7DPfTTelKmdUf63tHdVjFD2ewhcsOT7QAAAAG6oFutR1fHJv868T5j+w9QnilBah9qGsVGLfP6JxPB9NMfOYiip/t5H9MsoEz6kQgi9p4xgFHsOap+NhO3PEB8=</DataMashup>
</file>

<file path=customXml/itemProps1.xml><?xml version="1.0" encoding="utf-8"?>
<ds:datastoreItem xmlns:ds="http://schemas.openxmlformats.org/officeDocument/2006/customXml" ds:itemID="{9D0C314C-EC50-4C8F-BA08-45DDC1C68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EXCEL 102 PRACTICE</vt:lpstr>
      <vt:lpstr>PRODUCT LIST</vt:lpstr>
      <vt:lpstr>PRODUCT LIST (SORTING)</vt:lpstr>
      <vt:lpstr>PRODUCT LIST (SORTING) PART 2</vt:lpstr>
      <vt:lpstr>ORDERS (CUSTOM SORT)</vt:lpstr>
      <vt:lpstr>PRODUCT LIST (FILTERING)</vt:lpstr>
      <vt:lpstr>PRODUCT LIST (SUBTOTAL)</vt:lpstr>
      <vt:lpstr>EMPLOYEE LIST (DUPLICATES)</vt:lpstr>
      <vt:lpstr>PRODUCTS (SUBTOTAL FUNCTION)</vt:lpstr>
      <vt:lpstr>DSUM Function</vt:lpstr>
      <vt:lpstr>OTHER DATABASE FUNCTIONS</vt:lpstr>
      <vt:lpstr>shipping cost</vt:lpstr>
      <vt:lpstr>ORDER DATA (PIVOTTABLE)</vt:lpstr>
      <vt:lpstr>DASHBOARD PIVOTABLE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Okunlola Peter</cp:lastModifiedBy>
  <dcterms:created xsi:type="dcterms:W3CDTF">2020-03-17T20:42:00Z</dcterms:created>
  <dcterms:modified xsi:type="dcterms:W3CDTF">2026-04-15T22:43:24Z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DA9715BFD4A04F4CB8475898D634F601_12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