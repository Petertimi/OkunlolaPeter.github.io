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re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<sst xmlns="http://schemas.openxmlformats.org/spreadsheetml/2006/main" count="12" uniqueCount="11">
  <si>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Store Performance Summary — SUMIF Analysis</t>
  </si>
  <si>
    <t xml:space="preserve">Store #</t>
  </si>
  <si>
    <t xml:space="preserve">January</t>
  </si>
  <si>
    <t xml:space="preserve">February</t>
  </si>
  <si>
    <t xml:space="preserve">March</t>
  </si>
  <si>
    <t xml:space="preserve">Total Units</t>
  </si>
  <si>
    <t xml:space="preserve">Total Sales</t>
  </si>
  <si>
    <t xml:space="preserve">TOTAL</t>
  </si>
  <si>
    <t xml:space="preserve">Key Formula</t>
  </si>
  <si>
    <t xml:space="preserve">Purpose</t>
  </si>
  <si>
    <t xml:space="preserve">Aggregates sales/units by Store # across 270 transaction rows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</si>
</sst>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5276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i val="true"/>
      <sz val="10"/>
      <color rgb="FF2980B9"/>
      <name val="Calibri"/>
      <family val="2"/>
      <charset val="1"/>
    </font>
    <font>
      <b val="true"/>
      <sz val="12"/>
      <color rgb="FF1A5276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 val="true"/>
      <sz val="9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D4E6F1"/>
        <bgColor rgb="FFD9D9D9"/>
      </patternFill>
    </fill>
    <fill>
      <patternFill patternType="solid">
        <fgColor rgb="FF2980B9"/>
        <bgColor rgb="FF4F81BD"/>
      </patternFill>
    </fill>
    <fill>
      <patternFill patternType="solid">
        <fgColor rgb="FFEBF5FB"/>
        <bgColor rgb="FFFDFEFE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A5276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1A5276"/>
      </left>
      <right style="medium">
        <color rgb="FF1A5276"/>
      </right>
      <top style="medium">
        <color rgb="FF1A5276"/>
      </top>
      <bottom style="medium">
        <color rgb="FF1A527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0C0C0"/>
      <rgbColor rgb="FF878787"/>
      <rgbColor rgb="FF9999FF"/>
      <rgbColor rgb="FF8E44AD"/>
      <rgbColor rgb="FFFDFEFE"/>
      <rgbColor rgb="FFEBF5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4E6F1"/>
      <rgbColor rgb="FFCCFFCC"/>
      <rgbColor rgb="FFFFFF99"/>
      <rgbColor rgb="FF99CCFF"/>
      <rgbColor rgb="FFFF99CC"/>
      <rgbColor rgb="FFCC99FF"/>
      <rgbColor rgb="FFFFCC99"/>
      <rgbColor rgb="FF3366FF"/>
      <rgbColor rgb="FF1ABC9C"/>
      <rgbColor rgb="FF99CC00"/>
      <rgbColor rgb="FFFFCC00"/>
      <rgbColor rgb="FFF39C12"/>
      <rgbColor rgb="FFE74C3C"/>
      <rgbColor rgb="FF4F81BD"/>
      <rgbColor rgb="FF969696"/>
      <rgbColor rgb="FF1A5276"/>
      <rgbColor rgb="FF27AE6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200" spc="-1" strike="noStrike">
                <a:solidFill>
                  <a:srgbClr val="1a5276"/>
                </a:solidFill>
                <a:latin typeface="Calibri"/>
              </a:defRPr>
            </a:pPr>
            <a:r>
              <a:rPr b="1" lang="en-US" sz="1200" spc="-1" strike="noStrike">
                <a:solidFill>
                  <a:srgbClr val="1a5276"/>
                </a:solidFill>
                <a:latin typeface="Calibri"/>
              </a:rPr>
              <a:t>Monthly Sales by Store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"January"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rgbClr val="2980b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'Store Analysis'!$A$4:$A$9</c:f>
              <c:strCache>
                <c:ptCount val="6"/>
                <c:pt idx="0">
                  <c:v>1000</c:v>
                </c:pt>
                <c:pt idx="1">
                  <c:v>1050</c:v>
                </c:pt>
                <c:pt idx="2">
                  <c:v>2000</c:v>
                </c:pt>
                <c:pt idx="3">
                  <c:v>2050</c:v>
                </c:pt>
                <c:pt idx="4">
                  <c:v>3000</c:v>
                </c:pt>
                <c:pt idx="5">
                  <c:v>3050</c:v>
                </c:pt>
              </c:strCache>
            </c:strRef>
          </c:cat>
          <c:val>
            <c:numRef>
              <c:f>'Store Analysis'!$B$4:$B$9</c:f>
              <c:numCache>
                <c:formatCode>\$#,##0</c:formatCode>
                <c:ptCount val="6"/>
                <c:pt idx="0">
                  <c:v>155904</c:v>
                </c:pt>
                <c:pt idx="1">
                  <c:v>146468</c:v>
                </c:pt>
                <c:pt idx="2">
                  <c:v>175168</c:v>
                </c:pt>
                <c:pt idx="3">
                  <c:v>162484</c:v>
                </c:pt>
                <c:pt idx="4">
                  <c:v>140896</c:v>
                </c:pt>
                <c:pt idx="5">
                  <c:v>189952</c:v>
                </c:pt>
              </c:numCache>
            </c:numRef>
          </c:val>
        </c:ser>
        <c:ser>
          <c:idx val="1"/>
          <c:order val="1"/>
          <c:tx>
            <c:strRef>
              <c:f>"February"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rgbClr val="e74c3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'Store Analysis'!$A$4:$A$9</c:f>
              <c:strCache>
                <c:ptCount val="6"/>
                <c:pt idx="0">
                  <c:v>1000</c:v>
                </c:pt>
                <c:pt idx="1">
                  <c:v>1050</c:v>
                </c:pt>
                <c:pt idx="2">
                  <c:v>2000</c:v>
                </c:pt>
                <c:pt idx="3">
                  <c:v>2050</c:v>
                </c:pt>
                <c:pt idx="4">
                  <c:v>3000</c:v>
                </c:pt>
                <c:pt idx="5">
                  <c:v>3050</c:v>
                </c:pt>
              </c:strCache>
            </c:strRef>
          </c:cat>
          <c:val>
            <c:numRef>
              <c:f>'Store Analysis'!$C$4:$C$9</c:f>
              <c:numCache>
                <c:formatCode>\$#,##0</c:formatCode>
                <c:ptCount val="6"/>
                <c:pt idx="0">
                  <c:v>189504</c:v>
                </c:pt>
                <c:pt idx="1">
                  <c:v>133364</c:v>
                </c:pt>
                <c:pt idx="2">
                  <c:v>172340</c:v>
                </c:pt>
                <c:pt idx="3">
                  <c:v>158760</c:v>
                </c:pt>
                <c:pt idx="4">
                  <c:v>173852</c:v>
                </c:pt>
                <c:pt idx="5">
                  <c:v>157500</c:v>
                </c:pt>
              </c:numCache>
            </c:numRef>
          </c:val>
        </c:ser>
        <c:ser>
          <c:idx val="2"/>
          <c:order val="2"/>
          <c:tx>
            <c:strRef>
              <c:f>"March"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rgbClr val="27ae6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'Store Analysis'!$A$4:$A$9</c:f>
              <c:strCache>
                <c:ptCount val="6"/>
                <c:pt idx="0">
                  <c:v>1000</c:v>
                </c:pt>
                <c:pt idx="1">
                  <c:v>1050</c:v>
                </c:pt>
                <c:pt idx="2">
                  <c:v>2000</c:v>
                </c:pt>
                <c:pt idx="3">
                  <c:v>2050</c:v>
                </c:pt>
                <c:pt idx="4">
                  <c:v>3000</c:v>
                </c:pt>
                <c:pt idx="5">
                  <c:v>3050</c:v>
                </c:pt>
              </c:strCache>
            </c:strRef>
          </c:cat>
          <c:val>
            <c:numRef>
              <c:f>'Store Analysis'!$D$4:$D$9</c:f>
              <c:numCache>
                <c:formatCode>\$#,##0</c:formatCode>
                <c:ptCount val="6"/>
                <c:pt idx="0">
                  <c:v>126980</c:v>
                </c:pt>
                <c:pt idx="1">
                  <c:v>182224</c:v>
                </c:pt>
                <c:pt idx="2">
                  <c:v>147784</c:v>
                </c:pt>
                <c:pt idx="3">
                  <c:v>155820</c:v>
                </c:pt>
                <c:pt idx="4">
                  <c:v>176316</c:v>
                </c:pt>
                <c:pt idx="5">
                  <c:v>182112</c:v>
                </c:pt>
              </c:numCache>
            </c:numRef>
          </c:val>
        </c:ser>
        <c:gapWidth val="150"/>
        <c:overlap val="0"/>
        <c:axId val="55860625"/>
        <c:axId val="43335490"/>
      </c:barChart>
      <c:catAx>
        <c:axId val="558606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35490"/>
        <c:crosses val="autoZero"/>
        <c:auto val="1"/>
        <c:lblAlgn val="ctr"/>
        <c:lblOffset val="100"/>
        <c:noMultiLvlLbl val="0"/>
      </c:catAx>
      <c:valAx>
        <c:axId val="43335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9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9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60625"/>
        <c:crosses val="autoZero"/>
        <c:crossBetween val="between"/>
      </c:valAx>
      <c:spPr>
        <a:solidFill>
          <a:srgbClr val="fdfefe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200" spc="-1" strike="noStrike">
                <a:solidFill>
                  <a:srgbClr val="1a5276"/>
                </a:solidFill>
                <a:latin typeface="Calibri"/>
              </a:defRPr>
            </a:pPr>
            <a:r>
              <a:rPr b="1" lang="en-US" sz="1200" spc="-1" strike="noStrike">
                <a:solidFill>
                  <a:srgbClr val="1a5276"/>
                </a:solidFill>
                <a:latin typeface="Calibri"/>
              </a:rPr>
              <a:t>Sales Share by Store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"Store Sales Share"</c:f>
              <c:strCache>
                <c:ptCount val="1"/>
                <c:pt idx="0">
                  <c:v>Store Sales Share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980b9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74c3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27ae6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f39c1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8e44ad"/>
              </a:solidFill>
              <a:ln w="0">
                <a:noFill/>
              </a:ln>
            </c:spPr>
          </c:dPt>
          <c:dPt>
            <c:idx val="5"/>
            <c:spPr>
              <a:solidFill>
                <a:srgbClr val="1abc9c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0"/>
          </c:dLbls>
          <c:cat>
            <c:strRef>
              <c:f>'Store Analysis'!$F$4:$F$9</c:f>
              <c:strCache>
                <c:ptCount val="6"/>
                <c:pt idx="0">
                  <c:v>1000</c:v>
                </c:pt>
                <c:pt idx="1">
                  <c:v>1050</c:v>
                </c:pt>
                <c:pt idx="2">
                  <c:v>2000</c:v>
                </c:pt>
                <c:pt idx="3">
                  <c:v>2050</c:v>
                </c:pt>
                <c:pt idx="4">
                  <c:v>3000</c:v>
                </c:pt>
                <c:pt idx="5">
                  <c:v>3050</c:v>
                </c:pt>
              </c:strCache>
            </c:strRef>
          </c:cat>
          <c:val>
            <c:numRef>
              <c:f>'Store Analysis'!$H$4:$H$9</c:f>
              <c:numCache>
                <c:formatCode>\$#,##0</c:formatCode>
                <c:ptCount val="6"/>
                <c:pt idx="0">
                  <c:v>472388</c:v>
                </c:pt>
                <c:pt idx="1">
                  <c:v>462056</c:v>
                </c:pt>
                <c:pt idx="2">
                  <c:v>495292</c:v>
                </c:pt>
                <c:pt idx="3">
                  <c:v>477064</c:v>
                </c:pt>
                <c:pt idx="4">
                  <c:v>491064</c:v>
                </c:pt>
                <c:pt idx="5">
                  <c:v>529564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130680</xdr:rowOff>
    </xdr:from>
    <xdr:to>
      <xdr:col>6</xdr:col>
      <xdr:colOff>352080</xdr:colOff>
      <xdr:row>30</xdr:row>
      <xdr:rowOff>130320</xdr:rowOff>
    </xdr:to>
    <xdr:graphicFrame>
      <xdr:nvGraphicFramePr>
        <xdr:cNvPr id="0" name="Chart 1"/>
        <xdr:cNvGraphicFramePr/>
      </xdr:nvGraphicFramePr>
      <xdr:xfrm>
        <a:off x="0" y="2666880"/>
        <a:ext cx="622152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13</xdr:row>
      <xdr:rowOff>130680</xdr:rowOff>
    </xdr:from>
    <xdr:to>
      <xdr:col>16</xdr:col>
      <xdr:colOff>342720</xdr:colOff>
      <xdr:row>30</xdr:row>
      <xdr:rowOff>130320</xdr:rowOff>
    </xdr:to>
    <xdr:graphicFrame>
      <xdr:nvGraphicFramePr>
        <xdr:cNvPr id="1" name="Chart 2"/>
        <xdr:cNvGraphicFramePr/>
      </xdr:nvGraphicFramePr>
      <xdr:xfrm>
        <a:off x="10014480" y="2666880"/>
        <a:ext cx="401184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4" min="2" style="0" width="16.71"/>
    <col collapsed="false" customWidth="true" hidden="false" outlineLevel="0" max="5" min="5" style="0" width="3.71"/>
    <col collapsed="false" customWidth="true" hidden="false" outlineLevel="0" max="9" min="6" style="0" width="16.7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F3" s="2" t="s">
        <v>1</v>
      </c>
      <c r="G3" s="2" t="s">
        <v>5</v>
      </c>
      <c r="H3" s="2" t="s">
        <v>6</v>
      </c>
    </row>
    <row r="4" customFormat="false" ht="15" hidden="false" customHeight="false" outlineLevel="0" collapsed="false">
      <c r="A4" s="3" t="n">
        <v>1000</v>
      </c>
      <c r="B4" s="4" t="n">
        <v>155904</v>
      </c>
      <c r="C4" s="4" t="n">
        <v>189504</v>
      </c>
      <c r="D4" s="4" t="n">
        <v>126980</v>
      </c>
      <c r="F4" s="3" t="n">
        <v>1000</v>
      </c>
      <c r="G4" s="5" t="n">
        <v>16871</v>
      </c>
      <c r="H4" s="4" t="n">
        <v>472388</v>
      </c>
    </row>
    <row r="5" customFormat="false" ht="15" hidden="false" customHeight="false" outlineLevel="0" collapsed="false">
      <c r="A5" s="3" t="n">
        <v>1050</v>
      </c>
      <c r="B5" s="4" t="n">
        <v>146468</v>
      </c>
      <c r="C5" s="4" t="n">
        <v>133364</v>
      </c>
      <c r="D5" s="4" t="n">
        <v>182224</v>
      </c>
      <c r="F5" s="3" t="n">
        <v>1050</v>
      </c>
      <c r="G5" s="5" t="n">
        <v>16502</v>
      </c>
      <c r="H5" s="4" t="n">
        <v>462056</v>
      </c>
    </row>
    <row r="6" customFormat="false" ht="15" hidden="false" customHeight="false" outlineLevel="0" collapsed="false">
      <c r="A6" s="3" t="n">
        <v>2000</v>
      </c>
      <c r="B6" s="4" t="n">
        <v>175168</v>
      </c>
      <c r="C6" s="4" t="n">
        <v>172340</v>
      </c>
      <c r="D6" s="4" t="n">
        <v>147784</v>
      </c>
      <c r="F6" s="3" t="n">
        <v>2000</v>
      </c>
      <c r="G6" s="5" t="n">
        <v>17689</v>
      </c>
      <c r="H6" s="4" t="n">
        <v>495292</v>
      </c>
    </row>
    <row r="7" customFormat="false" ht="15" hidden="false" customHeight="false" outlineLevel="0" collapsed="false">
      <c r="A7" s="3" t="n">
        <v>2050</v>
      </c>
      <c r="B7" s="4" t="n">
        <v>162484</v>
      </c>
      <c r="C7" s="4" t="n">
        <v>158760</v>
      </c>
      <c r="D7" s="4" t="n">
        <v>155820</v>
      </c>
      <c r="F7" s="3" t="n">
        <v>2050</v>
      </c>
      <c r="G7" s="5" t="n">
        <v>17038</v>
      </c>
      <c r="H7" s="4" t="n">
        <v>477064</v>
      </c>
    </row>
    <row r="8" customFormat="false" ht="15" hidden="false" customHeight="false" outlineLevel="0" collapsed="false">
      <c r="A8" s="3" t="n">
        <v>3000</v>
      </c>
      <c r="B8" s="4" t="n">
        <v>140896</v>
      </c>
      <c r="C8" s="4" t="n">
        <v>173852</v>
      </c>
      <c r="D8" s="4" t="n">
        <v>176316</v>
      </c>
      <c r="F8" s="3" t="n">
        <v>3000</v>
      </c>
      <c r="G8" s="5" t="n">
        <v>17538</v>
      </c>
      <c r="H8" s="4" t="n">
        <v>491064</v>
      </c>
    </row>
    <row r="9" customFormat="false" ht="15" hidden="false" customHeight="false" outlineLevel="0" collapsed="false">
      <c r="A9" s="3" t="n">
        <v>3050</v>
      </c>
      <c r="B9" s="4" t="n">
        <v>189952</v>
      </c>
      <c r="C9" s="4" t="n">
        <v>157500</v>
      </c>
      <c r="D9" s="4" t="n">
        <v>182112</v>
      </c>
      <c r="F9" s="3" t="n">
        <v>3050</v>
      </c>
      <c r="G9" s="5" t="n">
        <v>18913</v>
      </c>
      <c r="H9" s="4" t="n">
        <v>529564</v>
      </c>
    </row>
    <row r="10" customFormat="false" ht="15" hidden="false" customHeight="false" outlineLevel="0" collapsed="false">
      <c r="A10" s="3" t="s">
        <v>7</v>
      </c>
      <c r="B10" s="6" t="n">
        <v>970872</v>
      </c>
      <c r="C10" s="6" t="n">
        <v>985320</v>
      </c>
      <c r="D10" s="6" t="n">
        <v>971236</v>
      </c>
    </row>
    <row r="12" customFormat="false" ht="15" hidden="false" customHeight="false" outlineLevel="0" collapsed="false">
      <c r="A12" s="7" t="s">
        <v>8</v>
      </c>
      <c r="B12" s="8" t="n">
        <f aca="false">SUMIF(B$3:B$272, G3, D$3:D$272)</f>
        <v>0</v>
      </c>
      <c r="C12" s="8"/>
      <c r="D12" s="8"/>
    </row>
    <row r="13" customFormat="false" ht="15" hidden="false" customHeight="true" outlineLevel="0" collapsed="false">
      <c r="A13" s="7" t="s">
        <v>9</v>
      </c>
      <c r="B13" s="8" t="s">
        <v>10</v>
      </c>
      <c r="C13" s="8"/>
      <c r="D13" s="8"/>
    </row>
  </sheetData>
  <mergeCells count="3">
    <mergeCell ref="A1:D1"/>
    <mergeCell ref="B12:D12"/>
    <mergeCell ref="B13:D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2026-04-15T23:01:32Z</dcterms:created>
  <dc:creator/>
  <dc:description/>
  <dc:language>en-US</dc:language>
  <cp:lastModifiedBy/>
  <dcterms:modified xsi:type="dcterms:W3CDTF">2026-04-15T23:01:45Z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